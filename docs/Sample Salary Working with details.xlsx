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9FF6645C-974B-494C-B043-E4C752F96B7A}" xr6:coauthVersionLast="47" xr6:coauthVersionMax="47" xr10:uidLastSave="{00000000-0000-0000-0000-000000000000}"/>
  <bookViews>
    <workbookView xWindow="-110" yWindow="-110" windowWidth="19420" windowHeight="10300" xr2:uid="{A22D3BBC-AED1-4DDC-9BFA-F06206921989}"/>
  </bookViews>
  <sheets>
    <sheet name="Salary Jan 2026" sheetId="1" r:id="rId1"/>
    <sheet name="OMan salary" sheetId="3" r:id="rId2"/>
    <sheet name="Labour salary" sheetId="5" r:id="rId3"/>
    <sheet name="Factory Overtime working" sheetId="2" r:id="rId4"/>
    <sheet name="Incentive &amp; Cummulative Incenti" sheetId="4" r:id="rId5"/>
    <sheet name="Green Thanks &amp; Bonus &amp; Travel" sheetId="9" r:id="rId6"/>
    <sheet name="Leave policy" sheetId="7" r:id="rId7"/>
    <sheet name="STATUTORY COMPLAINCE" sheetId="6" r:id="rId8"/>
    <sheet name="Loan&amp;adv , deductions, Contribu" sheetId="8" r:id="rId9"/>
  </sheets>
  <externalReferences>
    <externalReference r:id="rId10"/>
  </externalReferences>
  <definedNames>
    <definedName name="_xlnm._FilterDatabase" localSheetId="0" hidden="1">'Salary Jan 2026'!$A$1:$AP$33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U11" i="1" l="1"/>
  <c r="J11" i="3" l="1"/>
  <c r="I11" i="3"/>
  <c r="I10" i="3"/>
  <c r="J10" i="3"/>
  <c r="J12" i="3"/>
  <c r="J5" i="3"/>
  <c r="C22" i="3"/>
  <c r="C46" i="3"/>
  <c r="J6" i="3"/>
  <c r="AM26" i="1"/>
  <c r="AI9" i="1"/>
  <c r="AL23" i="1"/>
  <c r="AL27" i="1" l="1"/>
  <c r="C42" i="3"/>
  <c r="AI28" i="1"/>
  <c r="AI27" i="1"/>
  <c r="AI26" i="1"/>
  <c r="AI25" i="1"/>
  <c r="AI24" i="1"/>
  <c r="AI22" i="1"/>
  <c r="AI21" i="1"/>
  <c r="AI20" i="1"/>
  <c r="AI19" i="1"/>
  <c r="AI18" i="1"/>
  <c r="AI17" i="1"/>
  <c r="AI16" i="1"/>
  <c r="AI15" i="1"/>
  <c r="AI14" i="1"/>
  <c r="AI13" i="1"/>
  <c r="AI12" i="1"/>
  <c r="AI11" i="1"/>
  <c r="AI10" i="1"/>
  <c r="AI8" i="1"/>
  <c r="AI7" i="1"/>
  <c r="AI5" i="1"/>
  <c r="AI4" i="1"/>
  <c r="AI3" i="1"/>
  <c r="AI6" i="1"/>
  <c r="AL13" i="1"/>
  <c r="AL6" i="1"/>
  <c r="AE6" i="1"/>
  <c r="AB6" i="1"/>
  <c r="AM6" i="1" l="1"/>
  <c r="J7" i="3" l="1"/>
  <c r="J9" i="3"/>
  <c r="U4" i="1" l="1"/>
  <c r="U5" i="1" l="1"/>
  <c r="U3" i="1"/>
  <c r="AL28" i="1" l="1"/>
  <c r="AM31" i="1"/>
  <c r="AL18" i="1" l="1"/>
  <c r="AL17" i="1"/>
  <c r="AL16" i="1"/>
  <c r="AL15" i="1"/>
  <c r="AL14" i="1"/>
  <c r="AL12" i="1"/>
  <c r="AL11" i="1"/>
  <c r="AL5" i="1"/>
  <c r="AL4" i="1"/>
  <c r="AL3" i="1"/>
  <c r="AE28" i="1" l="1"/>
  <c r="AE27" i="1"/>
  <c r="AE23" i="1" l="1"/>
  <c r="AC8" i="1"/>
  <c r="AM44" i="1" l="1"/>
  <c r="AM43" i="1"/>
  <c r="AL38" i="1"/>
  <c r="AL40" i="1" s="1"/>
  <c r="AL7" i="1" l="1"/>
  <c r="AE8" i="1"/>
  <c r="AB7" i="1"/>
  <c r="AL24" i="1"/>
  <c r="AL10" i="1"/>
  <c r="L6" i="3"/>
  <c r="L10" i="3" l="1"/>
  <c r="C69" i="3"/>
  <c r="C70" i="3" s="1"/>
  <c r="C72" i="3" s="1"/>
  <c r="G4" i="3"/>
  <c r="AM30" i="1" l="1"/>
  <c r="J4" i="3"/>
  <c r="L4" i="3"/>
  <c r="N14" i="3" s="1"/>
  <c r="N15" i="3" s="1"/>
  <c r="E6" i="2"/>
  <c r="C25" i="3" l="1"/>
  <c r="C26" i="3" s="1"/>
  <c r="AE13" i="1" l="1"/>
  <c r="AE10" i="1"/>
  <c r="F6" i="2"/>
  <c r="V15" i="1" s="1"/>
  <c r="AN24" i="1"/>
  <c r="C60" i="3" l="1"/>
  <c r="C61" i="3" s="1"/>
  <c r="C63" i="3" s="1"/>
  <c r="C52" i="3"/>
  <c r="C44" i="3"/>
  <c r="C35" i="3"/>
  <c r="C36" i="3" s="1"/>
  <c r="C38" i="3" s="1"/>
  <c r="C53" i="3" l="1"/>
  <c r="C55" i="3" s="1"/>
  <c r="D63" i="3" s="1"/>
  <c r="C45" i="3"/>
  <c r="C47" i="3" s="1"/>
  <c r="U23" i="3"/>
  <c r="U24" i="3" s="1"/>
  <c r="L8" i="3"/>
  <c r="L9" i="3" l="1"/>
  <c r="L7" i="3"/>
  <c r="L14" i="3" l="1"/>
  <c r="AB44" i="1" l="1"/>
  <c r="AD32" i="1"/>
  <c r="C28" i="3" l="1"/>
  <c r="E28" i="3" s="1"/>
  <c r="K12" i="3"/>
  <c r="D13" i="2" l="1"/>
  <c r="E13" i="2" s="1"/>
  <c r="F13" i="2" s="1"/>
  <c r="V22" i="1" s="1"/>
  <c r="D12" i="2"/>
  <c r="E12" i="2" s="1"/>
  <c r="D11" i="2"/>
  <c r="E11" i="2" s="1"/>
  <c r="D10" i="2"/>
  <c r="E10" i="2" s="1"/>
  <c r="D9" i="2"/>
  <c r="E9" i="2" s="1"/>
  <c r="D8" i="2"/>
  <c r="E8" i="2" s="1"/>
  <c r="D7" i="2"/>
  <c r="E7" i="2" s="1"/>
  <c r="F7" i="2" s="1"/>
  <c r="V16" i="1" s="1"/>
  <c r="D5" i="2"/>
  <c r="D4" i="2"/>
  <c r="D3" i="2"/>
  <c r="E3" i="2" s="1"/>
  <c r="AL19" i="1"/>
  <c r="AL9" i="1"/>
  <c r="AB15" i="1"/>
  <c r="AB27" i="1"/>
  <c r="AM27" i="1" s="1"/>
  <c r="AB26" i="1"/>
  <c r="AB13" i="1"/>
  <c r="AM13" i="1" s="1"/>
  <c r="AB8" i="1"/>
  <c r="AM8" i="1" s="1"/>
  <c r="AE7" i="1"/>
  <c r="AE5" i="1"/>
  <c r="AL25" i="1"/>
  <c r="AL21" i="1"/>
  <c r="AB25" i="1"/>
  <c r="AB24" i="1"/>
  <c r="AB23" i="1"/>
  <c r="AB11" i="1"/>
  <c r="AB10" i="1"/>
  <c r="AB5" i="1"/>
  <c r="AB4" i="1"/>
  <c r="AB3" i="1"/>
  <c r="E5" i="2" l="1"/>
  <c r="F5" i="2" s="1"/>
  <c r="V14" i="1" s="1"/>
  <c r="E4" i="2"/>
  <c r="F4" i="2" s="1"/>
  <c r="V12" i="1" s="1"/>
  <c r="AF25" i="1"/>
  <c r="AM25" i="1" s="1"/>
  <c r="AF7" i="1"/>
  <c r="AF10" i="1"/>
  <c r="AF11" i="1"/>
  <c r="AG3" i="1"/>
  <c r="AG23" i="1"/>
  <c r="F8" i="2"/>
  <c r="V17" i="1" s="1"/>
  <c r="F9" i="2"/>
  <c r="V18" i="1" s="1"/>
  <c r="F3" i="2"/>
  <c r="V9" i="1" s="1"/>
  <c r="F11" i="2"/>
  <c r="V20" i="1" s="1"/>
  <c r="AB21" i="1"/>
  <c r="AG21" i="1" s="1"/>
  <c r="AF15" i="1"/>
  <c r="AF3" i="1"/>
  <c r="AF23" i="1"/>
  <c r="AG4" i="1"/>
  <c r="AG5" i="1"/>
  <c r="AF24" i="1"/>
  <c r="AF4" i="1"/>
  <c r="AG10" i="1"/>
  <c r="AF5" i="1"/>
  <c r="AG11" i="1"/>
  <c r="AG24" i="1"/>
  <c r="AM3" i="1" l="1"/>
  <c r="AM21" i="1"/>
  <c r="AB12" i="1"/>
  <c r="AB14" i="1"/>
  <c r="AM7" i="1"/>
  <c r="AM5" i="1"/>
  <c r="AM23" i="1"/>
  <c r="AM11" i="1"/>
  <c r="AM10" i="1"/>
  <c r="AM24" i="1"/>
  <c r="AM4" i="1"/>
  <c r="AB20" i="1"/>
  <c r="AM20" i="1" s="1"/>
  <c r="AB9" i="1"/>
  <c r="AB19" i="1"/>
  <c r="AB18" i="1"/>
  <c r="AM18" i="1" s="1"/>
  <c r="AB17" i="1"/>
  <c r="AM17" i="1" s="1"/>
  <c r="AB22" i="1"/>
  <c r="AM22" i="1" s="1"/>
  <c r="AB16" i="1"/>
  <c r="AG15" i="1"/>
  <c r="AM15" i="1" s="1"/>
  <c r="AG14" i="1" l="1"/>
  <c r="AF12" i="1"/>
  <c r="AM12" i="1" s="1"/>
  <c r="AG12" i="1"/>
  <c r="AF9" i="1"/>
  <c r="AG19" i="1"/>
  <c r="AF19" i="1"/>
  <c r="AG16" i="1"/>
  <c r="AF16" i="1"/>
  <c r="AF14" i="1"/>
  <c r="AM14" i="1" l="1"/>
  <c r="AM19" i="1"/>
  <c r="AM16" i="1"/>
  <c r="AM9" i="1"/>
  <c r="AM29" i="1" l="1"/>
  <c r="AM3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18" authorId="0" shapeId="0" xr:uid="{0020AEA5-7929-4234-B720-E3B2493B9757}">
      <text>
        <r>
          <rPr>
            <b/>
            <sz val="9"/>
            <color indexed="81"/>
            <rFont val="Tahoma"/>
            <family val="2"/>
          </rPr>
          <t>Author:</t>
        </r>
        <r>
          <rPr>
            <sz val="9"/>
            <color indexed="81"/>
            <rFont val="Tahoma"/>
            <family val="2"/>
          </rPr>
          <t xml:space="preserve">
Indian Bank
IFSC : IDIB000M682
</t>
        </r>
      </text>
    </comment>
    <comment ref="C19" authorId="0" shapeId="0" xr:uid="{09BED0C0-2038-43E2-B397-F1FFDAAD4FFD}">
      <text>
        <r>
          <rPr>
            <b/>
            <sz val="9"/>
            <color indexed="81"/>
            <rFont val="Tahoma"/>
            <family val="2"/>
          </rPr>
          <t>Author:</t>
        </r>
        <r>
          <rPr>
            <sz val="9"/>
            <color indexed="81"/>
            <rFont val="Tahoma"/>
            <family val="2"/>
          </rPr>
          <t xml:space="preserve">
Indian Bank 
IFSC : IDIB000M682</t>
        </r>
      </text>
    </comment>
  </commentList>
</comments>
</file>

<file path=xl/sharedStrings.xml><?xml version="1.0" encoding="utf-8"?>
<sst xmlns="http://schemas.openxmlformats.org/spreadsheetml/2006/main" count="609" uniqueCount="411">
  <si>
    <t>Emp Name</t>
  </si>
  <si>
    <t>Designation</t>
  </si>
  <si>
    <t>Total Days</t>
  </si>
  <si>
    <t>Basic</t>
  </si>
  <si>
    <t>HRA</t>
  </si>
  <si>
    <t>Special Allowance</t>
  </si>
  <si>
    <t>Education Allowance</t>
  </si>
  <si>
    <t>Total</t>
  </si>
  <si>
    <t>PF</t>
  </si>
  <si>
    <t>Tax</t>
  </si>
  <si>
    <t>No of Working Days</t>
  </si>
  <si>
    <t>No of Leave</t>
  </si>
  <si>
    <t>No of Leave deducted</t>
  </si>
  <si>
    <t>Basic Salary</t>
  </si>
  <si>
    <t>Incentive</t>
  </si>
  <si>
    <t>Over time</t>
  </si>
  <si>
    <t>Travel Allowance</t>
  </si>
  <si>
    <t>Bonus</t>
  </si>
  <si>
    <t>Cumulative Incentive</t>
  </si>
  <si>
    <t>Green thanks</t>
  </si>
  <si>
    <t>Gross Salary</t>
  </si>
  <si>
    <t>Loan opening</t>
  </si>
  <si>
    <t>Loan Deducted</t>
  </si>
  <si>
    <t>Loan Bal</t>
  </si>
  <si>
    <t>ESI</t>
  </si>
  <si>
    <t>Advance</t>
  </si>
  <si>
    <t>Lop</t>
  </si>
  <si>
    <t>Contribution</t>
  </si>
  <si>
    <t>TDS</t>
  </si>
  <si>
    <t>Other Deductions</t>
  </si>
  <si>
    <t>Net Salary</t>
  </si>
  <si>
    <t>Finance Head</t>
  </si>
  <si>
    <t>ShivaramG S</t>
  </si>
  <si>
    <t>NA</t>
  </si>
  <si>
    <t>Ganesh Chandra Das</t>
  </si>
  <si>
    <t>Bore Path SpecialistÂ </t>
  </si>
  <si>
    <t>ParamasivamK</t>
  </si>
  <si>
    <t>Site Coordinator</t>
  </si>
  <si>
    <t>SankarRaja</t>
  </si>
  <si>
    <t>Sr. Site Coordinator</t>
  </si>
  <si>
    <t>Driver</t>
  </si>
  <si>
    <t>Mazhar Shekh</t>
  </si>
  <si>
    <t>Operator</t>
  </si>
  <si>
    <t>LakshmananC</t>
  </si>
  <si>
    <t>Welder</t>
  </si>
  <si>
    <t>Kannan P</t>
  </si>
  <si>
    <t>Trainee</t>
  </si>
  <si>
    <t>BalajiP</t>
  </si>
  <si>
    <t>Executive</t>
  </si>
  <si>
    <t>DeepakR</t>
  </si>
  <si>
    <t>Relationship Manager</t>
  </si>
  <si>
    <t>Sivarajan Shanmugam</t>
  </si>
  <si>
    <t>CNC Programmer</t>
  </si>
  <si>
    <t>ShibuDas</t>
  </si>
  <si>
    <t>E..     Manikandan</t>
  </si>
  <si>
    <t>CNC Operator</t>
  </si>
  <si>
    <t>Singara Lakshmanan Palanisamy</t>
  </si>
  <si>
    <t>Lathe Operator</t>
  </si>
  <si>
    <t>M..Pandi</t>
  </si>
  <si>
    <t>Fitter</t>
  </si>
  <si>
    <t>Ramjanam...</t>
  </si>
  <si>
    <t>DharmendraKumar</t>
  </si>
  <si>
    <t>AjinThavasimuthu</t>
  </si>
  <si>
    <t>Factory Coordinator</t>
  </si>
  <si>
    <t>Paramasivam...</t>
  </si>
  <si>
    <t>VMC Operator</t>
  </si>
  <si>
    <t>BharathKrishna</t>
  </si>
  <si>
    <t>CAD Designer</t>
  </si>
  <si>
    <t>MotiKumar</t>
  </si>
  <si>
    <t>Helper</t>
  </si>
  <si>
    <t>AktarAli</t>
  </si>
  <si>
    <t xml:space="preserve"> ShajanB..</t>
  </si>
  <si>
    <t>Accounts Assistant</t>
  </si>
  <si>
    <t>BagavathiappanVeeralekshmanan</t>
  </si>
  <si>
    <t>ArunPrasath A</t>
  </si>
  <si>
    <t>Sr. Admin Executive</t>
  </si>
  <si>
    <t>SureshS..</t>
  </si>
  <si>
    <t>Project Assistant</t>
  </si>
  <si>
    <t>Location</t>
  </si>
  <si>
    <t>S.no</t>
  </si>
  <si>
    <t>Name</t>
  </si>
  <si>
    <t>OT HOURS</t>
  </si>
  <si>
    <t>LEAVE</t>
  </si>
  <si>
    <t>Deducted</t>
  </si>
  <si>
    <t>E Manikandan</t>
  </si>
  <si>
    <t>M.Pandi</t>
  </si>
  <si>
    <t>Ramjanam</t>
  </si>
  <si>
    <t>Dharmendra Kumar</t>
  </si>
  <si>
    <t>Ajin Thavasimuthu</t>
  </si>
  <si>
    <t>Paramasivam</t>
  </si>
  <si>
    <t>Bharath Krishna J S</t>
  </si>
  <si>
    <t>Moti Kumar</t>
  </si>
  <si>
    <t>GROSS SALARU</t>
  </si>
  <si>
    <t>PER HOUR</t>
  </si>
  <si>
    <t>OT AMOUNT</t>
  </si>
  <si>
    <t xml:space="preserve">     "Emp Code"</t>
  </si>
  <si>
    <t>Shi1878</t>
  </si>
  <si>
    <t>Cha1075</t>
  </si>
  <si>
    <t>K1848</t>
  </si>
  <si>
    <t>Raj1634</t>
  </si>
  <si>
    <t>She1264</t>
  </si>
  <si>
    <t>C1952</t>
  </si>
  <si>
    <t>P1780</t>
  </si>
  <si>
    <t>P1835</t>
  </si>
  <si>
    <t>R1275</t>
  </si>
  <si>
    <t>Sha1650</t>
  </si>
  <si>
    <t>Das1142</t>
  </si>
  <si>
    <t>Man1747</t>
  </si>
  <si>
    <t>Pal1459</t>
  </si>
  <si>
    <t>Pan1362</t>
  </si>
  <si>
    <t>...1694</t>
  </si>
  <si>
    <t>Kum1284</t>
  </si>
  <si>
    <t>Tha1708</t>
  </si>
  <si>
    <t>...1958</t>
  </si>
  <si>
    <t>Kri1982</t>
  </si>
  <si>
    <t>Kum1588</t>
  </si>
  <si>
    <t>Ali1708</t>
  </si>
  <si>
    <t>B..1921</t>
  </si>
  <si>
    <t>Vee1740</t>
  </si>
  <si>
    <t>Pra1921</t>
  </si>
  <si>
    <t>S..1459</t>
  </si>
  <si>
    <t xml:space="preserve">Gross Salary  </t>
  </si>
  <si>
    <t>Deductions</t>
  </si>
  <si>
    <t xml:space="preserve">Pending </t>
  </si>
  <si>
    <t>Remarks</t>
  </si>
  <si>
    <t>Sr. No.</t>
  </si>
  <si>
    <t>Emp. Name</t>
  </si>
  <si>
    <t>OMAN</t>
  </si>
  <si>
    <t>Leave Days</t>
  </si>
  <si>
    <t>OMR</t>
  </si>
  <si>
    <t xml:space="preserve"> </t>
  </si>
  <si>
    <t>INR</t>
  </si>
  <si>
    <t>Anwar</t>
  </si>
  <si>
    <t>Sri Kaliaraj B</t>
  </si>
  <si>
    <t>Pintu Oraon</t>
  </si>
  <si>
    <t xml:space="preserve">Richu </t>
  </si>
  <si>
    <t>OMANI Staff</t>
  </si>
  <si>
    <t>Dummy</t>
  </si>
  <si>
    <t>TOTAL</t>
  </si>
  <si>
    <t>Rambilas Oraon</t>
  </si>
  <si>
    <t>Fight Ticket Chennai to Bagdogra  &amp; return Rs.14957/- is taken as staff welfare . 15 days leave allowed 10 days taken balance 5 days pending</t>
  </si>
  <si>
    <t>Oman Salary</t>
  </si>
  <si>
    <t>5000rs to be given in cahs</t>
  </si>
  <si>
    <t>Incentive added</t>
  </si>
  <si>
    <t>Salary advance 2k deducted</t>
  </si>
  <si>
    <t>Less: Deduction</t>
  </si>
  <si>
    <t>less: Oman need</t>
  </si>
  <si>
    <t>Indian Salary</t>
  </si>
  <si>
    <t>Indian Rs</t>
  </si>
  <si>
    <t>Less: Advance</t>
  </si>
  <si>
    <t>Salary Payable</t>
  </si>
  <si>
    <t>Richu Thomas</t>
  </si>
  <si>
    <t>Sri Kaliyaraj B</t>
  </si>
  <si>
    <t>Pintu</t>
  </si>
  <si>
    <t>Rambilas</t>
  </si>
  <si>
    <t>to be paid in cash</t>
  </si>
  <si>
    <t>Srikaliyaraj</t>
  </si>
  <si>
    <t>Less: Leave</t>
  </si>
  <si>
    <t>Less: Flight Ticket</t>
  </si>
  <si>
    <t>Factory</t>
  </si>
  <si>
    <t>Office</t>
  </si>
  <si>
    <t>Sno</t>
  </si>
  <si>
    <t>Company</t>
  </si>
  <si>
    <t>IGT Manufacturing</t>
  </si>
  <si>
    <t>Igreen</t>
  </si>
  <si>
    <t>Igreen Transfer</t>
  </si>
  <si>
    <t>Bikki rao</t>
  </si>
  <si>
    <t>Bikki Rao</t>
  </si>
  <si>
    <t>Cash</t>
  </si>
  <si>
    <t xml:space="preserve"> 2500 to be paid as cash</t>
  </si>
  <si>
    <t xml:space="preserve">over </t>
  </si>
  <si>
    <t>x</t>
  </si>
  <si>
    <t>5000 to be paid in cash , Leave to be discussed</t>
  </si>
  <si>
    <t>20k loan 5k deducted balance 15k</t>
  </si>
  <si>
    <t>Dec 25- Jan 26</t>
  </si>
  <si>
    <t>igreen</t>
  </si>
  <si>
    <t>IGREEN</t>
  </si>
  <si>
    <t>Aru1675</t>
  </si>
  <si>
    <t>SivanArumugam</t>
  </si>
  <si>
    <t>Bike service cost 6k given</t>
  </si>
  <si>
    <t>Balance 10k</t>
  </si>
  <si>
    <t>Leave deduction 6 days</t>
  </si>
  <si>
    <t>1000rs advance 219 recharge</t>
  </si>
  <si>
    <t>Lop deducted fully</t>
  </si>
  <si>
    <t>to be released in this salary , 1000rs deducted this month</t>
  </si>
  <si>
    <t>Holded 10k as instructed by Sara sir</t>
  </si>
  <si>
    <t>No lop deducted to be cut from Main leave</t>
  </si>
  <si>
    <t>Add: Oman Incentive</t>
  </si>
  <si>
    <t>Ali Driver</t>
  </si>
  <si>
    <t>LOP</t>
  </si>
  <si>
    <t>Product</t>
  </si>
  <si>
    <t>Tracker</t>
  </si>
  <si>
    <t>Supervisor</t>
  </si>
  <si>
    <t>Duct</t>
  </si>
  <si>
    <t>Eb LT cable 240 sqmm</t>
  </si>
  <si>
    <t>EB Cable 11kv 120sqmm</t>
  </si>
  <si>
    <t>EB Cable 11kv 300sqmm</t>
  </si>
  <si>
    <t>EB Cable 11kv double</t>
  </si>
  <si>
    <t>EB Cable 33kv 3 cable</t>
  </si>
  <si>
    <t>EB Cable 33kv single cable</t>
  </si>
  <si>
    <t>MSPIPE EB /TWAD</t>
  </si>
  <si>
    <t>HDPE 110</t>
  </si>
  <si>
    <t>HDPE 160 to 250 dia</t>
  </si>
  <si>
    <t>HDPE  250 dia above 500mm</t>
  </si>
  <si>
    <t>HDPE  above 500mm</t>
  </si>
  <si>
    <t>GAS Pipeline 100mm-250mm</t>
  </si>
  <si>
    <t>GAS Pipeline 250mm- 400mm</t>
  </si>
  <si>
    <t>GAS Pipeline 400mm-500mm</t>
  </si>
  <si>
    <t>GAS Pipeline above500mm</t>
  </si>
  <si>
    <t>Incentive for Own Machine Projects</t>
  </si>
  <si>
    <t>Category 1</t>
  </si>
  <si>
    <t>Category 2</t>
  </si>
  <si>
    <t>Project Incentive</t>
  </si>
  <si>
    <t>Category 3</t>
  </si>
  <si>
    <t>SERVICE SECTOR</t>
  </si>
  <si>
    <t>Over Time</t>
  </si>
  <si>
    <t>Factory /Manufacturing Sector</t>
  </si>
  <si>
    <r>
      <t xml:space="preserve">Incentive for Operator , Trackers Supervisors </t>
    </r>
    <r>
      <rPr>
        <b/>
        <sz val="11"/>
        <color theme="8" tint="-0.249977111117893"/>
        <rFont val="Calibri"/>
        <family val="2"/>
        <scheme val="minor"/>
      </rPr>
      <t>(Meters worked * Rate specified)</t>
    </r>
  </si>
  <si>
    <r>
      <t>0.4% of the Project value without GST once the Payment credited in our Bank account only for own Projects not for Subcontracts. Manager should have worked in the project to get the incentive</t>
    </r>
    <r>
      <rPr>
        <b/>
        <sz val="11"/>
        <color theme="8" tint="-0.249977111117893"/>
        <rFont val="Calibri"/>
        <family val="2"/>
        <scheme val="minor"/>
      </rPr>
      <t>( Project value*0.4%</t>
    </r>
    <r>
      <rPr>
        <sz val="11"/>
        <color theme="8" tint="-0.249977111117893"/>
        <rFont val="Calibri"/>
        <family val="2"/>
        <scheme val="minor"/>
      </rPr>
      <t>)</t>
    </r>
  </si>
  <si>
    <t xml:space="preserve"> SECTOR</t>
  </si>
  <si>
    <t>Labours Salary</t>
  </si>
  <si>
    <t>We might add new type of Incentive scheme as well</t>
  </si>
  <si>
    <t>LABOUR SALARY FOR THE MONTH OF JAN-2026</t>
  </si>
  <si>
    <t>Status</t>
  </si>
  <si>
    <t>Emp Code</t>
  </si>
  <si>
    <t>Account No.</t>
  </si>
  <si>
    <t xml:space="preserve">Name </t>
  </si>
  <si>
    <t xml:space="preserve">Total Present </t>
  </si>
  <si>
    <t>Gross salary</t>
  </si>
  <si>
    <t>Days</t>
  </si>
  <si>
    <t>Food allowance</t>
  </si>
  <si>
    <t>Salary to Pay</t>
  </si>
  <si>
    <t>Active</t>
  </si>
  <si>
    <t>IGT - H -0010</t>
  </si>
  <si>
    <t>922010030106709</t>
  </si>
  <si>
    <t>Satindra Oraon</t>
  </si>
  <si>
    <t>Yes</t>
  </si>
  <si>
    <t>IGT - H -0013</t>
  </si>
  <si>
    <t>922010030107083</t>
  </si>
  <si>
    <t>Ankit Oraon</t>
  </si>
  <si>
    <t>IGT - H -0014</t>
  </si>
  <si>
    <t>924010027612110</t>
  </si>
  <si>
    <t>Sandip Oraon</t>
  </si>
  <si>
    <t>IGT - H -0015</t>
  </si>
  <si>
    <t>921010034495026</t>
  </si>
  <si>
    <t>Punay Oraon</t>
  </si>
  <si>
    <t>IGT - H -0016</t>
  </si>
  <si>
    <t>920010069989254</t>
  </si>
  <si>
    <t>Binay Oraon</t>
  </si>
  <si>
    <t>IGT - H -0018</t>
  </si>
  <si>
    <t>923010021147921</t>
  </si>
  <si>
    <t xml:space="preserve">M Manoj Oraon </t>
  </si>
  <si>
    <t>IGT - H -0024</t>
  </si>
  <si>
    <t>924010027612343</t>
  </si>
  <si>
    <t>Shushil Oraon</t>
  </si>
  <si>
    <t>IGT - H -0028</t>
  </si>
  <si>
    <t>923010001167521</t>
  </si>
  <si>
    <t>Sunil Baraik</t>
  </si>
  <si>
    <t>IGT - H -0030</t>
  </si>
  <si>
    <t>Pila Oraon</t>
  </si>
  <si>
    <t>IGT - H -0031</t>
  </si>
  <si>
    <t>924010027621392</t>
  </si>
  <si>
    <t>Ashok Oraon</t>
  </si>
  <si>
    <t>IGT - H -0033</t>
  </si>
  <si>
    <t>Bikram Oraon</t>
  </si>
  <si>
    <t>IGT - H -0034</t>
  </si>
  <si>
    <t>Panchu Oraon</t>
  </si>
  <si>
    <t>IGT - H -0040</t>
  </si>
  <si>
    <t xml:space="preserve">Jatru Oraon </t>
  </si>
  <si>
    <t xml:space="preserve">Kalai Selvi </t>
  </si>
  <si>
    <t>IGT - H -0043</t>
  </si>
  <si>
    <t>Jeetwahan Oraon</t>
  </si>
  <si>
    <t>IGT - H -0044</t>
  </si>
  <si>
    <t>Basdev Oraon</t>
  </si>
  <si>
    <t>IGT - H -0045</t>
  </si>
  <si>
    <t>Amar Oraon</t>
  </si>
  <si>
    <t>IGT - H -0046</t>
  </si>
  <si>
    <t xml:space="preserve">Raju Oraon </t>
  </si>
  <si>
    <t>IGT - H -0048</t>
  </si>
  <si>
    <t xml:space="preserve">Sant Kumar Oraon </t>
  </si>
  <si>
    <t>Professional Tax</t>
  </si>
  <si>
    <t>1. Provident Fund (PF)</t>
  </si>
  <si>
    <r>
      <t xml:space="preserve">PF is applicable </t>
    </r>
    <r>
      <rPr>
        <b/>
        <sz val="11"/>
        <color theme="1"/>
        <rFont val="Calibri"/>
        <family val="2"/>
        <scheme val="minor"/>
      </rPr>
      <t>only to selected employees</t>
    </r>
    <r>
      <rPr>
        <sz val="11"/>
        <color theme="1"/>
        <rFont val="Calibri"/>
        <family val="2"/>
        <scheme val="minor"/>
      </rPr>
      <t>.</t>
    </r>
  </si>
  <si>
    <r>
      <t xml:space="preserve">If </t>
    </r>
    <r>
      <rPr>
        <b/>
        <sz val="11"/>
        <color theme="1"/>
        <rFont val="Calibri"/>
        <family val="2"/>
        <scheme val="minor"/>
      </rPr>
      <t>Basic Salary &gt; ₹15,000</t>
    </r>
  </si>
  <si>
    <r>
      <t xml:space="preserve">→ PF is calculated as </t>
    </r>
    <r>
      <rPr>
        <b/>
        <sz val="11"/>
        <color theme="1"/>
        <rFont val="Calibri"/>
        <family val="2"/>
        <scheme val="minor"/>
      </rPr>
      <t>₹15,000 × 12% = ₹1,800</t>
    </r>
  </si>
  <si>
    <r>
      <t xml:space="preserve">If </t>
    </r>
    <r>
      <rPr>
        <b/>
        <sz val="11"/>
        <color theme="1"/>
        <rFont val="Calibri"/>
        <family val="2"/>
        <scheme val="minor"/>
      </rPr>
      <t>Basic Salary ≤ ₹15,000</t>
    </r>
  </si>
  <si>
    <r>
      <t xml:space="preserve">→ PF is calculated as </t>
    </r>
    <r>
      <rPr>
        <b/>
        <sz val="11"/>
        <color theme="1"/>
        <rFont val="Calibri"/>
        <family val="2"/>
        <scheme val="minor"/>
      </rPr>
      <t>Basic Salary × 12%</t>
    </r>
  </si>
  <si>
    <r>
      <t>Loss of Pay (LOP)</t>
    </r>
    <r>
      <rPr>
        <sz val="11"/>
        <color theme="1"/>
        <rFont val="Calibri"/>
        <family val="2"/>
        <scheme val="minor"/>
      </rPr>
      <t xml:space="preserve"> will be deducted while calculating the </t>
    </r>
    <r>
      <rPr>
        <b/>
        <sz val="11"/>
        <color theme="1"/>
        <rFont val="Calibri"/>
        <family val="2"/>
        <scheme val="minor"/>
      </rPr>
      <t>gross salary</t>
    </r>
    <r>
      <rPr>
        <sz val="11"/>
        <color theme="1"/>
        <rFont val="Calibri"/>
        <family val="2"/>
        <scheme val="minor"/>
      </rPr>
      <t>, and PF will be calculated on the eligible basic salary after LOP adjustment.</t>
    </r>
  </si>
  <si>
    <t>2. Employees’ State Insurance (ESI)</t>
  </si>
  <si>
    <r>
      <t xml:space="preserve">Employees selected for PF will be </t>
    </r>
    <r>
      <rPr>
        <b/>
        <sz val="11"/>
        <color theme="1"/>
        <rFont val="Calibri"/>
        <family val="2"/>
        <scheme val="minor"/>
      </rPr>
      <t>automatically considered for ESI</t>
    </r>
    <r>
      <rPr>
        <sz val="11"/>
        <color theme="1"/>
        <rFont val="Calibri"/>
        <family val="2"/>
        <scheme val="minor"/>
      </rPr>
      <t>, subject to eligibility.</t>
    </r>
  </si>
  <si>
    <r>
      <t xml:space="preserve">If </t>
    </r>
    <r>
      <rPr>
        <b/>
        <sz val="11"/>
        <color theme="1"/>
        <rFont val="Calibri"/>
        <family val="2"/>
        <scheme val="minor"/>
      </rPr>
      <t>Gross Salary ≤ ₹21,000</t>
    </r>
    <r>
      <rPr>
        <sz val="11"/>
        <color theme="1"/>
        <rFont val="Calibri"/>
        <family val="2"/>
        <scheme val="minor"/>
      </rPr>
      <t>, ESI is applicable.</t>
    </r>
  </si>
  <si>
    <r>
      <t xml:space="preserve">Employee ESI contribution: </t>
    </r>
    <r>
      <rPr>
        <b/>
        <sz val="11"/>
        <color theme="1"/>
        <rFont val="Calibri"/>
        <family val="2"/>
        <scheme val="minor"/>
      </rPr>
      <t>0.75% of Gross Salary</t>
    </r>
  </si>
  <si>
    <r>
      <t xml:space="preserve">If </t>
    </r>
    <r>
      <rPr>
        <b/>
        <sz val="11"/>
        <color theme="1"/>
        <rFont val="Calibri"/>
        <family val="2"/>
        <scheme val="minor"/>
      </rPr>
      <t>Gross Salary &gt; ₹21,000</t>
    </r>
    <r>
      <rPr>
        <sz val="11"/>
        <color theme="1"/>
        <rFont val="Calibri"/>
        <family val="2"/>
        <scheme val="minor"/>
      </rPr>
      <t xml:space="preserve">, ESI is </t>
    </r>
    <r>
      <rPr>
        <b/>
        <sz val="11"/>
        <color theme="1"/>
        <rFont val="Calibri"/>
        <family val="2"/>
        <scheme val="minor"/>
      </rPr>
      <t>not applicable</t>
    </r>
    <r>
      <rPr>
        <sz val="11"/>
        <color theme="1"/>
        <rFont val="Calibri"/>
        <family val="2"/>
        <scheme val="minor"/>
      </rPr>
      <t>.</t>
    </r>
  </si>
  <si>
    <r>
      <t>LOP will be deducted</t>
    </r>
    <r>
      <rPr>
        <sz val="11"/>
        <color theme="1"/>
        <rFont val="Calibri"/>
        <family val="2"/>
        <scheme val="minor"/>
      </rPr>
      <t xml:space="preserve"> before calculating ESI contribution.</t>
    </r>
  </si>
  <si>
    <t>3. Professional Tax (PT)</t>
  </si>
  <si>
    <r>
      <t xml:space="preserve">Applicable to </t>
    </r>
    <r>
      <rPr>
        <b/>
        <sz val="11"/>
        <color theme="1"/>
        <rFont val="Calibri"/>
        <family val="2"/>
        <scheme val="minor"/>
      </rPr>
      <t>all salaried employees covered under PF / ESI</t>
    </r>
    <r>
      <rPr>
        <sz val="11"/>
        <color theme="1"/>
        <rFont val="Calibri"/>
        <family val="2"/>
        <scheme val="minor"/>
      </rPr>
      <t>.</t>
    </r>
  </si>
  <si>
    <r>
      <t xml:space="preserve">Professional Tax amount: </t>
    </r>
    <r>
      <rPr>
        <b/>
        <sz val="11"/>
        <color theme="1"/>
        <rFont val="Calibri"/>
        <family val="2"/>
        <scheme val="minor"/>
      </rPr>
      <t>₹1,250 per half-year</t>
    </r>
  </si>
  <si>
    <t>(₹2,500 per year, as per applicable state rules)</t>
  </si>
  <si>
    <t>4. Tax Deducted at Source (TDS)</t>
  </si>
  <si>
    <r>
      <t xml:space="preserve">TDS is deducted based on the </t>
    </r>
    <r>
      <rPr>
        <b/>
        <sz val="11"/>
        <color theme="1"/>
        <rFont val="Calibri"/>
        <family val="2"/>
        <scheme val="minor"/>
      </rPr>
      <t>Income Tax slab rates</t>
    </r>
    <r>
      <rPr>
        <sz val="11"/>
        <color theme="1"/>
        <rFont val="Calibri"/>
        <family val="2"/>
        <scheme val="minor"/>
      </rPr>
      <t xml:space="preserve"> applicable for the </t>
    </r>
    <r>
      <rPr>
        <b/>
        <sz val="11"/>
        <color theme="1"/>
        <rFont val="Calibri"/>
        <family val="2"/>
        <scheme val="minor"/>
      </rPr>
      <t>financial year</t>
    </r>
    <r>
      <rPr>
        <sz val="11"/>
        <color theme="1"/>
        <rFont val="Calibri"/>
        <family val="2"/>
        <scheme val="minor"/>
      </rPr>
      <t>.</t>
    </r>
  </si>
  <si>
    <r>
      <t xml:space="preserve">Income tax slab rates are </t>
    </r>
    <r>
      <rPr>
        <b/>
        <sz val="11"/>
        <color theme="1"/>
        <rFont val="Calibri"/>
        <family val="2"/>
        <scheme val="minor"/>
      </rPr>
      <t>subject to change every year</t>
    </r>
    <r>
      <rPr>
        <sz val="11"/>
        <color theme="1"/>
        <rFont val="Calibri"/>
        <family val="2"/>
        <scheme val="minor"/>
      </rPr>
      <t xml:space="preserve"> as per government notifications.</t>
    </r>
  </si>
  <si>
    <t>Component</t>
  </si>
  <si>
    <t>Applicability</t>
  </si>
  <si>
    <t>Calculation</t>
  </si>
  <si>
    <t>Selected Employees</t>
  </si>
  <si>
    <t>12% of ₹15,000 (if salary &gt; ₹15k) or 12% of actual basic</t>
  </si>
  <si>
    <t>LOP applicable</t>
  </si>
  <si>
    <t>Salary ≤ ₹21,000</t>
  </si>
  <si>
    <t>0.75% of Gross Salary</t>
  </si>
  <si>
    <t>PF / ESI Employees</t>
  </si>
  <si>
    <t>₹1,250 per half-year</t>
  </si>
  <si>
    <t>As per state rules</t>
  </si>
  <si>
    <t>All applicable employees</t>
  </si>
  <si>
    <t>As per IT slab</t>
  </si>
  <si>
    <t>Changes yearly</t>
  </si>
  <si>
    <t>KINDS OF LEAVE POLICY</t>
  </si>
  <si>
    <t>1. Casual Leave (CL)</t>
  </si>
  <si>
    <t>Purpose: Personal work, emergencies, short absences</t>
  </si>
  <si>
    <t>Carry Forward: ❌ Not allowed</t>
  </si>
  <si>
    <t>Encashment: ❌ Not allowed</t>
  </si>
  <si>
    <t>2. Sick Leave (SL)</t>
  </si>
  <si>
    <t>Purpose: Illness or medical reasons</t>
  </si>
  <si>
    <t>3. Earned Leave / Privilege Leave (EL / PL)</t>
  </si>
  <si>
    <t>Purpose: Planned long leave</t>
  </si>
  <si>
    <r>
      <t xml:space="preserve">Carry Forward: ✅ Allowed (up to </t>
    </r>
    <r>
      <rPr>
        <b/>
        <sz val="11"/>
        <color theme="1"/>
        <rFont val="Calibri"/>
        <family val="2"/>
        <scheme val="minor"/>
      </rPr>
      <t>45 days</t>
    </r>
    <r>
      <rPr>
        <sz val="11"/>
        <color theme="1"/>
        <rFont val="Calibri"/>
        <family val="2"/>
        <scheme val="minor"/>
      </rPr>
      <t>)</t>
    </r>
  </si>
  <si>
    <t>Encashment: ✅ Allowed at separation / as per policy</t>
  </si>
  <si>
    <r>
      <t xml:space="preserve">Approval: Apply </t>
    </r>
    <r>
      <rPr>
        <b/>
        <sz val="11"/>
        <color theme="1"/>
        <rFont val="Calibri"/>
        <family val="2"/>
        <scheme val="minor"/>
      </rPr>
      <t>minimum 7 days in advance</t>
    </r>
  </si>
  <si>
    <t>4. Loss of Pay (LOP)</t>
  </si>
  <si>
    <r>
      <t xml:space="preserve">Salary will be </t>
    </r>
    <r>
      <rPr>
        <b/>
        <sz val="11"/>
        <color theme="1"/>
        <rFont val="Calibri"/>
        <family val="2"/>
        <scheme val="minor"/>
      </rPr>
      <t>deducted proportionately</t>
    </r>
  </si>
  <si>
    <r>
      <t xml:space="preserve">Affects </t>
    </r>
    <r>
      <rPr>
        <b/>
        <sz val="11"/>
        <color theme="1"/>
        <rFont val="Calibri"/>
        <family val="2"/>
        <scheme val="minor"/>
      </rPr>
      <t>PF, ESI &amp; other statutory calculations</t>
    </r>
  </si>
  <si>
    <t>5. Compensatory Off (Comp-Off)</t>
  </si>
  <si>
    <r>
      <t xml:space="preserve">Applicable for working on </t>
    </r>
    <r>
      <rPr>
        <b/>
        <sz val="11"/>
        <color theme="1"/>
        <rFont val="Calibri"/>
        <family val="2"/>
        <scheme val="minor"/>
      </rPr>
      <t>weekly off / declared holiday</t>
    </r>
  </si>
  <si>
    <t>Must be approved in advance</t>
  </si>
  <si>
    <r>
      <t xml:space="preserve">Validity: </t>
    </r>
    <r>
      <rPr>
        <b/>
        <sz val="11"/>
        <color theme="1"/>
        <rFont val="Calibri"/>
        <family val="2"/>
        <scheme val="minor"/>
      </rPr>
      <t>Use within 30 days</t>
    </r>
  </si>
  <si>
    <t>6. Maternity Leave</t>
  </si>
  <si>
    <t>Applicable to female employees</t>
  </si>
  <si>
    <r>
      <t xml:space="preserve">Entitlement: </t>
    </r>
    <r>
      <rPr>
        <b/>
        <sz val="11"/>
        <color theme="1"/>
        <rFont val="Calibri"/>
        <family val="2"/>
        <scheme val="minor"/>
      </rPr>
      <t>26 weeks</t>
    </r>
    <r>
      <rPr>
        <sz val="11"/>
        <color theme="1"/>
        <rFont val="Calibri"/>
        <family val="2"/>
        <scheme val="minor"/>
      </rPr>
      <t xml:space="preserve"> (as per Maternity Benefit Act)</t>
    </r>
  </si>
  <si>
    <t>Conditions: As per statutory norms</t>
  </si>
  <si>
    <r>
      <t xml:space="preserve">7. Paternity Leave </t>
    </r>
    <r>
      <rPr>
        <b/>
        <i/>
        <sz val="13.5"/>
        <color theme="1"/>
        <rFont val="Calibri"/>
        <family val="2"/>
        <scheme val="minor"/>
      </rPr>
      <t>(Optional – Company Policy)</t>
    </r>
  </si>
  <si>
    <t>Applicable to male employees</t>
  </si>
  <si>
    <r>
      <t xml:space="preserve">Entitlement: </t>
    </r>
    <r>
      <rPr>
        <b/>
        <sz val="11"/>
        <color theme="1"/>
        <rFont val="Calibri"/>
        <family val="2"/>
        <scheme val="minor"/>
      </rPr>
      <t>5 days</t>
    </r>
  </si>
  <si>
    <r>
      <t xml:space="preserve">Must be availed within </t>
    </r>
    <r>
      <rPr>
        <b/>
        <sz val="11"/>
        <color theme="1"/>
        <rFont val="Calibri"/>
        <family val="2"/>
        <scheme val="minor"/>
      </rPr>
      <t>30 days of childbirth</t>
    </r>
  </si>
  <si>
    <r>
      <t xml:space="preserve">8. Marriage Leave </t>
    </r>
    <r>
      <rPr>
        <b/>
        <i/>
        <sz val="13.5"/>
        <color theme="1"/>
        <rFont val="Calibri"/>
        <family val="2"/>
        <scheme val="minor"/>
      </rPr>
      <t>(Optional)</t>
    </r>
  </si>
  <si>
    <t>Applicable: First marriage only</t>
  </si>
  <si>
    <r>
      <t xml:space="preserve">Entitlement: </t>
    </r>
    <r>
      <rPr>
        <b/>
        <sz val="11"/>
        <color theme="1"/>
        <rFont val="Calibri"/>
        <family val="2"/>
        <scheme val="minor"/>
      </rPr>
      <t>3 days</t>
    </r>
  </si>
  <si>
    <t>Paid leave</t>
  </si>
  <si>
    <t>9. Bereavement Leave</t>
  </si>
  <si>
    <t>In case of death of immediate family member</t>
  </si>
  <si>
    <t>10. Public / National Holidays</t>
  </si>
  <si>
    <r>
      <t xml:space="preserve">Typically </t>
    </r>
    <r>
      <rPr>
        <b/>
        <sz val="11"/>
        <color theme="1"/>
        <rFont val="Calibri"/>
        <family val="2"/>
        <scheme val="minor"/>
      </rPr>
      <t>10–12 days per year</t>
    </r>
  </si>
  <si>
    <t>📊 SUMMARY TABLE (EXCEL READY)</t>
  </si>
  <si>
    <t>Leave Type</t>
  </si>
  <si>
    <t>Days / Year</t>
  </si>
  <si>
    <t>Carry Forward</t>
  </si>
  <si>
    <t>Encashment</t>
  </si>
  <si>
    <t>Casual Leave</t>
  </si>
  <si>
    <t>No</t>
  </si>
  <si>
    <t>Short absences</t>
  </si>
  <si>
    <t>Sick Leave</t>
  </si>
  <si>
    <t>Medical proof if &gt;2 days</t>
  </si>
  <si>
    <t>Earned Leave</t>
  </si>
  <si>
    <t>Yes (45 max)</t>
  </si>
  <si>
    <t>Planned leave</t>
  </si>
  <si>
    <t>Salary deduction</t>
  </si>
  <si>
    <t>Comp-Off</t>
  </si>
  <si>
    <t>As applicable</t>
  </si>
  <si>
    <t>Use within 30 days</t>
  </si>
  <si>
    <t>Maternity Leave</t>
  </si>
  <si>
    <t>26 weeks</t>
  </si>
  <si>
    <t>Statutory</t>
  </si>
  <si>
    <t>Paternity Leave</t>
  </si>
  <si>
    <t>Optional</t>
  </si>
  <si>
    <t>Marriage Leave</t>
  </si>
  <si>
    <t>Bereavement Leave</t>
  </si>
  <si>
    <t>Immediate family</t>
  </si>
  <si>
    <t>Holidays</t>
  </si>
  <si>
    <t>10–12</t>
  </si>
  <si>
    <t>Loans and Advances</t>
  </si>
  <si>
    <t>Contributions</t>
  </si>
  <si>
    <t>Green Thanks</t>
  </si>
  <si>
    <t>Category 4</t>
  </si>
  <si>
    <t>(Meters worked * Rate specified) /2 will be provided this month , balance will be added in the cummulative incentive</t>
  </si>
  <si>
    <t>Cummulative Incentive</t>
  </si>
  <si>
    <t xml:space="preserve">Every month 1/2 amount holded will be given in the quarter . Example, December 1/2, January 1/2, February 1/2 will be given in March Salary as cummulative incentive </t>
  </si>
  <si>
    <r>
      <t>1. Green Thanks</t>
    </r>
    <r>
      <rPr>
        <sz val="11"/>
        <color theme="1"/>
        <rFont val="Calibri"/>
        <family val="2"/>
        <scheme val="minor"/>
      </rPr>
      <t xml:space="preserve"> may be given by one employee to another employee as a token of appreciation.</t>
    </r>
  </si>
  <si>
    <t>2. A maximum limit per quarter will be fixed by the Management.</t>
  </si>
  <si>
    <r>
      <t xml:space="preserve">3. The reason for awarding </t>
    </r>
    <r>
      <rPr>
        <i/>
        <sz val="11"/>
        <color theme="1"/>
        <rFont val="Calibri"/>
        <family val="2"/>
        <scheme val="minor"/>
      </rPr>
      <t>Green Thanks</t>
    </r>
    <r>
      <rPr>
        <sz val="11"/>
        <color theme="1"/>
        <rFont val="Calibri"/>
        <family val="2"/>
        <scheme val="minor"/>
      </rPr>
      <t xml:space="preserve"> must be clearly mentioned.</t>
    </r>
  </si>
  <si>
    <r>
      <t xml:space="preserve">4. All </t>
    </r>
    <r>
      <rPr>
        <i/>
        <sz val="11"/>
        <color theme="1"/>
        <rFont val="Calibri"/>
        <family val="2"/>
        <scheme val="minor"/>
      </rPr>
      <t>Green Thanks</t>
    </r>
    <r>
      <rPr>
        <sz val="11"/>
        <color theme="1"/>
        <rFont val="Calibri"/>
        <family val="2"/>
        <scheme val="minor"/>
      </rPr>
      <t xml:space="preserve"> awards are subject to Management approval.</t>
    </r>
  </si>
  <si>
    <t>1. During the Diwali period, a performance bonus may be provided by the Management based on the employee’s salary and performance.</t>
  </si>
  <si>
    <t>2. The decision regarding the bonus amount and eligibility rests solely with the Management.</t>
  </si>
  <si>
    <t>1. Travel allowance will be provided to employees based on their travel requirements and eligibility as defined by the Management.</t>
  </si>
  <si>
    <r>
      <t xml:space="preserve">2. Loan eligibility and amount will be determined based on the employee’s </t>
    </r>
    <r>
      <rPr>
        <b/>
        <sz val="11"/>
        <color theme="1"/>
        <rFont val="Calibri"/>
        <family val="2"/>
        <scheme val="minor"/>
      </rPr>
      <t>salary and necessity</t>
    </r>
    <r>
      <rPr>
        <sz val="11"/>
        <color theme="1"/>
        <rFont val="Calibri"/>
        <family val="2"/>
        <scheme val="minor"/>
      </rPr>
      <t>.</t>
    </r>
  </si>
  <si>
    <r>
      <t xml:space="preserve">3. An </t>
    </r>
    <r>
      <rPr>
        <b/>
        <sz val="11"/>
        <color theme="1"/>
        <rFont val="Calibri"/>
        <family val="2"/>
        <scheme val="minor"/>
      </rPr>
      <t>interest rate of 1% per month</t>
    </r>
    <r>
      <rPr>
        <sz val="11"/>
        <color theme="1"/>
        <rFont val="Calibri"/>
        <family val="2"/>
        <scheme val="minor"/>
      </rPr>
      <t xml:space="preserve"> will be charged on the </t>
    </r>
    <r>
      <rPr>
        <b/>
        <sz val="11"/>
        <color theme="1"/>
        <rFont val="Calibri"/>
        <family val="2"/>
        <scheme val="minor"/>
      </rPr>
      <t>outstanding principal amount</t>
    </r>
    <r>
      <rPr>
        <sz val="11"/>
        <color theme="1"/>
        <rFont val="Calibri"/>
        <family val="2"/>
        <scheme val="minor"/>
      </rPr>
      <t>.</t>
    </r>
  </si>
  <si>
    <r>
      <t xml:space="preserve">4. Salary advances, if approved, will be </t>
    </r>
    <r>
      <rPr>
        <b/>
        <sz val="11"/>
        <color theme="1"/>
        <rFont val="Calibri"/>
        <family val="2"/>
        <scheme val="minor"/>
      </rPr>
      <t>limited to a maximum of ₹5,000</t>
    </r>
    <r>
      <rPr>
        <sz val="11"/>
        <color theme="1"/>
        <rFont val="Calibri"/>
        <family val="2"/>
        <scheme val="minor"/>
      </rPr>
      <t>.</t>
    </r>
  </si>
  <si>
    <r>
      <t xml:space="preserve">5. Approved advances will be </t>
    </r>
    <r>
      <rPr>
        <b/>
        <sz val="11"/>
        <color theme="1"/>
        <rFont val="Calibri"/>
        <family val="2"/>
        <scheme val="minor"/>
      </rPr>
      <t>deducted from the subsequent salary</t>
    </r>
    <r>
      <rPr>
        <sz val="11"/>
        <color theme="1"/>
        <rFont val="Calibri"/>
        <family val="2"/>
        <scheme val="minor"/>
      </rPr>
      <t>.</t>
    </r>
  </si>
  <si>
    <r>
      <t xml:space="preserve">6. An </t>
    </r>
    <r>
      <rPr>
        <b/>
        <sz val="11"/>
        <color theme="1"/>
        <rFont val="Calibri"/>
        <family val="2"/>
        <scheme val="minor"/>
      </rPr>
      <t>interest rate of 1%</t>
    </r>
    <r>
      <rPr>
        <sz val="11"/>
        <color theme="1"/>
        <rFont val="Calibri"/>
        <family val="2"/>
        <scheme val="minor"/>
      </rPr>
      <t xml:space="preserve"> will be applicable on the advance amount.</t>
    </r>
  </si>
  <si>
    <r>
      <t xml:space="preserve">7. Advances are provided based on </t>
    </r>
    <r>
      <rPr>
        <b/>
        <sz val="11"/>
        <color theme="1"/>
        <rFont val="Calibri"/>
        <family val="2"/>
        <scheme val="minor"/>
      </rPr>
      <t>necessity</t>
    </r>
    <r>
      <rPr>
        <sz val="11"/>
        <color theme="1"/>
        <rFont val="Calibri"/>
        <family val="2"/>
        <scheme val="minor"/>
      </rPr>
      <t>, at Management’s discretion, and no additional eligibility criteria apply.</t>
    </r>
  </si>
  <si>
    <r>
      <t xml:space="preserve">1. Any act or omission by an employee that results in </t>
    </r>
    <r>
      <rPr>
        <b/>
        <sz val="11"/>
        <color theme="1"/>
        <rFont val="Calibri"/>
        <family val="2"/>
        <scheme val="minor"/>
      </rPr>
      <t>financial loss to the Company</t>
    </r>
    <r>
      <rPr>
        <sz val="11"/>
        <color theme="1"/>
        <rFont val="Calibri"/>
        <family val="2"/>
        <scheme val="minor"/>
      </rPr>
      <t xml:space="preserve"> may attract salary deductions.</t>
    </r>
  </si>
  <si>
    <r>
      <t xml:space="preserve">2. The deduction amount will be </t>
    </r>
    <r>
      <rPr>
        <b/>
        <sz val="11"/>
        <color theme="1"/>
        <rFont val="Calibri"/>
        <family val="2"/>
        <scheme val="minor"/>
      </rPr>
      <t>proportionate to the monetary loss incurred</t>
    </r>
    <r>
      <rPr>
        <sz val="11"/>
        <color theme="1"/>
        <rFont val="Calibri"/>
        <family val="2"/>
        <scheme val="minor"/>
      </rPr>
      <t xml:space="preserve"> and decided by the Management.</t>
    </r>
  </si>
  <si>
    <r>
      <t xml:space="preserve">1. Contributions made towards </t>
    </r>
    <r>
      <rPr>
        <b/>
        <sz val="11"/>
        <color theme="1"/>
        <rFont val="Calibri"/>
        <family val="2"/>
        <scheme val="minor"/>
      </rPr>
      <t>staff welfare</t>
    </r>
    <r>
      <rPr>
        <sz val="11"/>
        <color theme="1"/>
        <rFont val="Calibri"/>
        <family val="2"/>
        <scheme val="minor"/>
      </rPr>
      <t xml:space="preserve"> to support another employee during </t>
    </r>
    <r>
      <rPr>
        <b/>
        <sz val="11"/>
        <color theme="1"/>
        <rFont val="Calibri"/>
        <family val="2"/>
        <scheme val="minor"/>
      </rPr>
      <t>emergency situations</t>
    </r>
    <r>
      <rPr>
        <sz val="11"/>
        <color theme="1"/>
        <rFont val="Calibri"/>
        <family val="2"/>
        <scheme val="minor"/>
      </rPr>
      <t xml:space="preserve"> may be deducted from salary, subject to employee consent and Management approval.</t>
    </r>
  </si>
  <si>
    <t>Incentive for Subcontracts/other machine used for our works 1/2 of the amount mentioned in the Rate ((Meters worked * Rate specified) /2)) No cummilative for othe machine works .</t>
  </si>
  <si>
    <r>
      <t xml:space="preserve">Extra Payment for extra Hours worked ,however check in time and check out time must be monitored purpose of extra work shall be noted </t>
    </r>
    <r>
      <rPr>
        <b/>
        <sz val="11"/>
        <color theme="8" tint="-0.249977111117893"/>
        <rFont val="Calibri"/>
        <family val="2"/>
        <scheme val="minor"/>
      </rPr>
      <t xml:space="preserve">(extra hours worked * Per hour Salary)  </t>
    </r>
    <r>
      <rPr>
        <sz val="11"/>
        <color theme="1"/>
        <rFont val="Calibri"/>
        <family val="2"/>
        <scheme val="minor"/>
      </rPr>
      <t>( Per Hour salary = Gross Salary / 30/31 days/8 Hours)</t>
    </r>
  </si>
  <si>
    <t>Approval: Prior approval from reporting manager to be done before availing the leave (1 day before)</t>
  </si>
  <si>
    <r>
      <t xml:space="preserve">Medical Certificate: Required if </t>
    </r>
    <r>
      <rPr>
        <b/>
        <sz val="11"/>
        <color theme="1"/>
        <rFont val="Calibri"/>
        <family val="2"/>
        <scheme val="minor"/>
      </rPr>
      <t>more than 2 consecutive days</t>
    </r>
    <r>
      <rPr>
        <sz val="11"/>
        <color theme="1"/>
        <rFont val="Calibri"/>
        <family val="2"/>
        <scheme val="minor"/>
      </rPr>
      <t xml:space="preserve"> with companies DOCTOR approval</t>
    </r>
  </si>
  <si>
    <t>hide this</t>
  </si>
  <si>
    <t>Applicable when leave balance is exhausted or leave is unauthorized and during Probation Period</t>
  </si>
  <si>
    <t>Pay: Basic salary only paid</t>
  </si>
  <si>
    <t>As per  Company -declared holiday list</t>
  </si>
  <si>
    <t>Company Declared</t>
  </si>
  <si>
    <t>Not applicable now</t>
  </si>
  <si>
    <r>
      <t xml:space="preserve">1. Employees are eligible to apply for a loan only after completing a minimum of </t>
    </r>
    <r>
      <rPr>
        <b/>
        <sz val="11"/>
        <color theme="1"/>
        <rFont val="Calibri"/>
        <family val="2"/>
        <scheme val="minor"/>
      </rPr>
      <t>18 months of continuous service</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</si>
</sst>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0.0"/>
  </numFmts>
  <fonts count="27" x14ac:knownFonts="1">
    <font>
      <sz val="11"/>
      <color theme="1"/>
      <name val="Calibri"/>
      <family val="2"/>
      <scheme val="minor"/>
    </font>
    <font>
      <b/>
      <sz val="11"/>
      <color theme="1"/>
      <name val="Calibri"/>
      <family val="2"/>
      <scheme val="minor"/>
    </font>
    <font>
      <sz val="12"/>
      <color rgb="FF000000"/>
      <name val="Calibri"/>
      <family val="2"/>
      <scheme val="minor"/>
    </font>
    <font>
      <b/>
      <u/>
      <sz val="11"/>
      <color theme="1"/>
      <name val="Calibri"/>
      <family val="2"/>
      <scheme val="minor"/>
    </font>
    <font>
      <sz val="12"/>
      <color theme="1"/>
      <name val="Calibri"/>
      <family val="2"/>
      <scheme val="minor"/>
    </font>
    <font>
      <b/>
      <sz val="12"/>
      <color theme="1"/>
      <name val="Calibri"/>
      <family val="2"/>
      <scheme val="minor"/>
    </font>
    <font>
      <sz val="12"/>
      <color theme="1"/>
      <name val="Times New Roman"/>
      <family val="1"/>
    </font>
    <font>
      <sz val="10"/>
      <color theme="1"/>
      <name val="Calibri"/>
      <family val="2"/>
      <scheme val="minor"/>
    </font>
    <font>
      <sz val="11"/>
      <color theme="1"/>
      <name val="Calibri"/>
      <family val="2"/>
      <scheme val="minor"/>
    </font>
    <font>
      <b/>
      <sz val="16"/>
      <color theme="1"/>
      <name val="Calibri"/>
      <family val="2"/>
      <scheme val="minor"/>
    </font>
    <font>
      <sz val="16"/>
      <color theme="1"/>
      <name val="Calibri"/>
      <family val="2"/>
      <scheme val="minor"/>
    </font>
    <font>
      <sz val="16"/>
      <color rgb="FFFF0000"/>
      <name val="Calibri"/>
      <family val="2"/>
      <scheme val="minor"/>
    </font>
    <font>
      <b/>
      <u/>
      <sz val="16"/>
      <color theme="1"/>
      <name val="Calibri"/>
      <family val="2"/>
      <scheme val="minor"/>
    </font>
    <font>
      <b/>
      <sz val="11"/>
      <color theme="8" tint="-0.249977111117893"/>
      <name val="Calibri"/>
      <family val="2"/>
      <scheme val="minor"/>
    </font>
    <font>
      <sz val="16"/>
      <color theme="8" tint="-0.249977111117893"/>
      <name val="Calibri"/>
      <family val="2"/>
      <scheme val="minor"/>
    </font>
    <font>
      <sz val="11"/>
      <color theme="8" tint="-0.249977111117893"/>
      <name val="Calibri"/>
      <family val="2"/>
      <scheme val="minor"/>
    </font>
    <font>
      <b/>
      <sz val="13"/>
      <color theme="1"/>
      <name val="Times New Roman"/>
      <family val="1"/>
    </font>
    <font>
      <b/>
      <sz val="10"/>
      <color rgb="FF000000"/>
      <name val="Times New Roman"/>
      <family val="1"/>
    </font>
    <font>
      <b/>
      <sz val="10"/>
      <color theme="1"/>
      <name val="Times New Roman"/>
      <family val="1"/>
    </font>
    <font>
      <sz val="10"/>
      <color theme="1"/>
      <name val="Times New Roman"/>
      <family val="1"/>
    </font>
    <font>
      <sz val="10"/>
      <name val="Times New Roman"/>
      <family val="1"/>
    </font>
    <font>
      <b/>
      <sz val="9"/>
      <color indexed="81"/>
      <name val="Tahoma"/>
      <family val="2"/>
    </font>
    <font>
      <sz val="9"/>
      <color indexed="81"/>
      <name val="Tahoma"/>
      <family val="2"/>
    </font>
    <font>
      <b/>
      <sz val="13.5"/>
      <color theme="1"/>
      <name val="Calibri"/>
      <family val="2"/>
      <scheme val="minor"/>
    </font>
    <font>
      <i/>
      <sz val="11"/>
      <color theme="1"/>
      <name val="Calibri"/>
      <family val="2"/>
      <scheme val="minor"/>
    </font>
    <font>
      <b/>
      <sz val="18"/>
      <color theme="1"/>
      <name val="Calibri"/>
      <family val="2"/>
      <scheme val="minor"/>
    </font>
    <font>
      <b/>
      <i/>
      <sz val="13.5"/>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rgb="FFC6D9F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43" fontId="8" fillId="0" borderId="0" applyFont="0" applyFill="0" applyBorder="0" applyAlignment="0" applyProtection="0"/>
  </cellStyleXfs>
  <cellXfs count="119">
    <xf numFmtId="0" fontId="0" fillId="0" borderId="0" xfId="0"/>
    <xf numFmtId="0" fontId="0" fillId="0" borderId="1" xfId="0" applyBorder="1"/>
    <xf numFmtId="0" fontId="1" fillId="0" borderId="1" xfId="0" applyFont="1" applyBorder="1"/>
    <xf numFmtId="2" fontId="0" fillId="0" borderId="1" xfId="0" applyNumberFormat="1" applyBorder="1"/>
    <xf numFmtId="0" fontId="1" fillId="0" borderId="1" xfId="0" applyFont="1" applyBorder="1" applyAlignment="1">
      <alignment horizontal="center"/>
    </xf>
    <xf numFmtId="0" fontId="0" fillId="0" borderId="1" xfId="0" applyBorder="1" applyAlignment="1">
      <alignment horizontal="center"/>
    </xf>
    <xf numFmtId="0" fontId="0" fillId="0" borderId="1" xfId="0" applyBorder="1" applyAlignment="1">
      <alignment wrapText="1"/>
    </xf>
    <xf numFmtId="0" fontId="0" fillId="0" borderId="0" xfId="0" applyAlignment="1">
      <alignment horizontal="center"/>
    </xf>
    <xf numFmtId="0" fontId="1" fillId="0" borderId="0" xfId="0" applyFont="1" applyAlignment="1">
      <alignment horizontal="center"/>
    </xf>
    <xf numFmtId="2" fontId="0" fillId="0" borderId="0" xfId="0" applyNumberFormat="1" applyAlignment="1">
      <alignment horizontal="center"/>
    </xf>
    <xf numFmtId="1" fontId="0" fillId="0" borderId="0" xfId="0" applyNumberFormat="1" applyAlignment="1">
      <alignment horizontal="center"/>
    </xf>
    <xf numFmtId="1" fontId="1" fillId="0" borderId="0" xfId="0" applyNumberFormat="1" applyFont="1" applyAlignment="1">
      <alignment horizontal="center"/>
    </xf>
    <xf numFmtId="1" fontId="1" fillId="0" borderId="0" xfId="0" applyNumberFormat="1" applyFont="1"/>
    <xf numFmtId="2" fontId="1" fillId="0" borderId="0" xfId="0" applyNumberFormat="1" applyFont="1" applyAlignment="1">
      <alignment horizontal="center"/>
    </xf>
    <xf numFmtId="1" fontId="0" fillId="0" borderId="1" xfId="0" applyNumberFormat="1" applyBorder="1" applyAlignment="1">
      <alignment horizontal="center"/>
    </xf>
    <xf numFmtId="2" fontId="0" fillId="0" borderId="1" xfId="0" applyNumberFormat="1" applyBorder="1" applyAlignment="1">
      <alignment horizontal="center"/>
    </xf>
    <xf numFmtId="14" fontId="2" fillId="0" borderId="1" xfId="0" applyNumberFormat="1" applyFont="1" applyBorder="1"/>
    <xf numFmtId="14" fontId="0" fillId="0" borderId="1" xfId="0" applyNumberFormat="1" applyBorder="1"/>
    <xf numFmtId="0" fontId="3" fillId="0" borderId="0" xfId="0" applyFont="1"/>
    <xf numFmtId="1" fontId="0" fillId="0" borderId="0" xfId="0" applyNumberFormat="1"/>
    <xf numFmtId="0" fontId="1" fillId="2" borderId="1" xfId="0" applyFont="1" applyFill="1" applyBorder="1"/>
    <xf numFmtId="0" fontId="0" fillId="0" borderId="3" xfId="0" applyBorder="1"/>
    <xf numFmtId="2" fontId="1" fillId="0" borderId="1" xfId="0" applyNumberFormat="1" applyFont="1" applyBorder="1"/>
    <xf numFmtId="164" fontId="0" fillId="2" borderId="1" xfId="0" applyNumberFormat="1" applyFill="1" applyBorder="1" applyAlignment="1">
      <alignment horizontal="center"/>
    </xf>
    <xf numFmtId="1" fontId="1" fillId="2" borderId="1" xfId="0" applyNumberFormat="1" applyFont="1" applyFill="1" applyBorder="1"/>
    <xf numFmtId="0" fontId="5" fillId="0" borderId="1" xfId="0" applyFont="1" applyBorder="1"/>
    <xf numFmtId="0" fontId="4" fillId="0" borderId="1" xfId="0" applyFont="1" applyBorder="1"/>
    <xf numFmtId="0" fontId="4" fillId="0" borderId="0" xfId="0" applyFont="1"/>
    <xf numFmtId="0" fontId="4" fillId="0" borderId="1" xfId="0" applyFont="1" applyBorder="1" applyAlignment="1">
      <alignment horizontal="left"/>
    </xf>
    <xf numFmtId="0" fontId="4" fillId="0" borderId="4" xfId="0" applyFont="1" applyBorder="1"/>
    <xf numFmtId="1" fontId="4" fillId="2" borderId="1" xfId="0" applyNumberFormat="1" applyFont="1" applyFill="1" applyBorder="1"/>
    <xf numFmtId="0" fontId="5" fillId="0" borderId="0" xfId="0" applyFont="1"/>
    <xf numFmtId="1" fontId="4" fillId="0" borderId="1" xfId="0" applyNumberFormat="1" applyFont="1" applyBorder="1"/>
    <xf numFmtId="1" fontId="4" fillId="0" borderId="1" xfId="0" applyNumberFormat="1" applyFont="1" applyBorder="1" applyAlignment="1">
      <alignment horizontal="left"/>
    </xf>
    <xf numFmtId="0" fontId="4" fillId="0" borderId="0" xfId="0" applyFont="1" applyAlignment="1">
      <alignment horizontal="left"/>
    </xf>
    <xf numFmtId="1" fontId="4" fillId="0" borderId="4" xfId="0" applyNumberFormat="1" applyFont="1" applyBorder="1"/>
    <xf numFmtId="0" fontId="4" fillId="0" borderId="4" xfId="0" applyFont="1" applyBorder="1" applyAlignment="1">
      <alignment horizontal="left"/>
    </xf>
    <xf numFmtId="0" fontId="4" fillId="0" borderId="3" xfId="0" applyFont="1" applyBorder="1"/>
    <xf numFmtId="0" fontId="4" fillId="0" borderId="5" xfId="0" applyFont="1" applyBorder="1"/>
    <xf numFmtId="1" fontId="5" fillId="0" borderId="0" xfId="0" applyNumberFormat="1" applyFont="1"/>
    <xf numFmtId="1" fontId="4" fillId="0" borderId="0" xfId="0" applyNumberFormat="1" applyFont="1"/>
    <xf numFmtId="0" fontId="6" fillId="0" borderId="0" xfId="0" applyFont="1"/>
    <xf numFmtId="164" fontId="1" fillId="0" borderId="1" xfId="0" applyNumberFormat="1" applyFont="1" applyBorder="1"/>
    <xf numFmtId="0" fontId="4" fillId="0" borderId="1" xfId="0" applyFont="1" applyBorder="1" applyAlignment="1">
      <alignment horizontal="right"/>
    </xf>
    <xf numFmtId="1" fontId="4" fillId="0" borderId="1" xfId="0" applyNumberFormat="1" applyFont="1" applyBorder="1" applyAlignment="1">
      <alignment horizontal="right"/>
    </xf>
    <xf numFmtId="0" fontId="7" fillId="0" borderId="0" xfId="0" applyFont="1"/>
    <xf numFmtId="0" fontId="0" fillId="0" borderId="6" xfId="0" applyBorder="1" applyAlignment="1">
      <alignment horizontal="center"/>
    </xf>
    <xf numFmtId="0" fontId="9" fillId="3" borderId="1" xfId="0" applyFont="1" applyFill="1" applyBorder="1" applyAlignment="1">
      <alignment horizontal="center"/>
    </xf>
    <xf numFmtId="0" fontId="10" fillId="4" borderId="1" xfId="0" applyFont="1" applyFill="1" applyBorder="1" applyAlignment="1">
      <alignment horizontal="center"/>
    </xf>
    <xf numFmtId="0" fontId="10" fillId="0" borderId="1" xfId="0" applyFont="1" applyBorder="1" applyAlignment="1">
      <alignment horizontal="center"/>
    </xf>
    <xf numFmtId="0" fontId="0" fillId="0" borderId="0" xfId="0" applyAlignment="1">
      <alignment vertical="center" wrapText="1"/>
    </xf>
    <xf numFmtId="0" fontId="1" fillId="0" borderId="1" xfId="0" applyFont="1" applyBorder="1" applyAlignment="1">
      <alignment horizontal="center" vertical="center" wrapText="1"/>
    </xf>
    <xf numFmtId="0" fontId="17" fillId="5" borderId="1" xfId="0" applyFont="1" applyFill="1" applyBorder="1" applyAlignment="1" applyProtection="1">
      <alignment horizontal="left" vertical="center"/>
      <protection locked="0"/>
    </xf>
    <xf numFmtId="0" fontId="18" fillId="5" borderId="1" xfId="0" applyFont="1" applyFill="1" applyBorder="1" applyAlignment="1">
      <alignment vertical="center" wrapText="1"/>
    </xf>
    <xf numFmtId="1" fontId="18" fillId="6" borderId="1" xfId="0" applyNumberFormat="1" applyFont="1" applyFill="1" applyBorder="1" applyAlignment="1">
      <alignment horizontal="center" vertical="center" wrapText="1"/>
    </xf>
    <xf numFmtId="0" fontId="18" fillId="5" borderId="1" xfId="0" applyFont="1" applyFill="1" applyBorder="1" applyAlignment="1">
      <alignment horizontal="center" vertical="center"/>
    </xf>
    <xf numFmtId="0" fontId="18" fillId="5" borderId="1" xfId="0" applyFont="1" applyFill="1" applyBorder="1" applyAlignment="1">
      <alignment horizontal="center" vertical="center" wrapText="1"/>
    </xf>
    <xf numFmtId="0" fontId="19" fillId="0" borderId="1" xfId="0" applyFont="1" applyBorder="1" applyAlignment="1">
      <alignment horizontal="center"/>
    </xf>
    <xf numFmtId="0" fontId="20" fillId="0" borderId="1" xfId="0" applyFont="1" applyBorder="1" applyAlignment="1">
      <alignment horizontal="center"/>
    </xf>
    <xf numFmtId="0" fontId="20" fillId="0" borderId="1" xfId="0" quotePrefix="1" applyFont="1" applyBorder="1"/>
    <xf numFmtId="0" fontId="20" fillId="0" borderId="1" xfId="0" applyFont="1" applyBorder="1" applyAlignment="1">
      <alignment horizontal="left"/>
    </xf>
    <xf numFmtId="43" fontId="19" fillId="0" borderId="1" xfId="1" applyFont="1" applyFill="1" applyBorder="1" applyAlignment="1">
      <alignment horizontal="center"/>
    </xf>
    <xf numFmtId="1" fontId="19" fillId="0" borderId="1" xfId="0" applyNumberFormat="1" applyFont="1" applyBorder="1"/>
    <xf numFmtId="0" fontId="20" fillId="0" borderId="1" xfId="0" applyFont="1" applyBorder="1"/>
    <xf numFmtId="0" fontId="19" fillId="0" borderId="1" xfId="0" applyFont="1" applyBorder="1"/>
    <xf numFmtId="0" fontId="19" fillId="0" borderId="1" xfId="0" quotePrefix="1" applyFont="1" applyBorder="1"/>
    <xf numFmtId="43" fontId="20" fillId="0" borderId="1" xfId="1" applyFont="1" applyFill="1" applyBorder="1" applyAlignment="1">
      <alignment horizontal="center"/>
    </xf>
    <xf numFmtId="0" fontId="19" fillId="0" borderId="0" xfId="0" applyFont="1"/>
    <xf numFmtId="43" fontId="18" fillId="2" borderId="1" xfId="1" applyFont="1" applyFill="1" applyBorder="1" applyAlignment="1">
      <alignment horizontal="center"/>
    </xf>
    <xf numFmtId="0" fontId="23"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24" fillId="0" borderId="0" xfId="0" applyFont="1" applyAlignment="1">
      <alignment horizontal="left" vertical="center" indent="1"/>
    </xf>
    <xf numFmtId="0" fontId="25" fillId="0" borderId="0" xfId="0" applyFont="1" applyAlignment="1">
      <alignment vertical="center"/>
    </xf>
    <xf numFmtId="0" fontId="0" fillId="0" borderId="1" xfId="0" applyBorder="1" applyAlignment="1">
      <alignment vertical="center" wrapText="1"/>
    </xf>
    <xf numFmtId="0" fontId="1" fillId="0" borderId="2" xfId="0" applyFont="1" applyBorder="1" applyAlignment="1">
      <alignment horizontal="center"/>
    </xf>
    <xf numFmtId="0" fontId="1" fillId="0" borderId="1" xfId="0" applyFont="1" applyBorder="1" applyAlignment="1">
      <alignment horizontal="center"/>
    </xf>
    <xf numFmtId="0" fontId="0" fillId="0" borderId="0" xfId="0" applyAlignment="1">
      <alignment horizontal="center"/>
    </xf>
    <xf numFmtId="0" fontId="16" fillId="2" borderId="2" xfId="0" applyFont="1" applyFill="1" applyBorder="1" applyAlignment="1">
      <alignment horizontal="center" vertical="center"/>
    </xf>
    <xf numFmtId="0" fontId="0" fillId="0" borderId="1" xfId="0" applyBorder="1" applyAlignment="1">
      <alignment horizontal="center" wrapText="1"/>
    </xf>
    <xf numFmtId="0" fontId="0" fillId="0" borderId="1" xfId="0" applyBorder="1" applyAlignment="1">
      <alignment horizont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7"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3" fillId="0" borderId="1" xfId="0" applyFont="1" applyBorder="1" applyAlignment="1">
      <alignment horizontal="center"/>
    </xf>
    <xf numFmtId="0" fontId="3" fillId="0" borderId="8" xfId="0" applyFont="1" applyBorder="1" applyAlignment="1">
      <alignment horizontal="center"/>
    </xf>
    <xf numFmtId="0" fontId="3" fillId="0" borderId="0" xfId="0" applyFont="1" applyAlignment="1">
      <alignment horizontal="center"/>
    </xf>
    <xf numFmtId="0" fontId="0" fillId="0" borderId="1" xfId="0" applyBorder="1" applyAlignment="1">
      <alignment horizontal="center" vertical="center" wrapText="1"/>
    </xf>
    <xf numFmtId="0" fontId="0" fillId="0" borderId="8" xfId="0" applyBorder="1" applyAlignment="1">
      <alignment horizontal="center" vertical="center" wrapText="1"/>
    </xf>
    <xf numFmtId="0" fontId="1" fillId="0" borderId="8" xfId="0" applyFont="1" applyBorder="1" applyAlignment="1">
      <alignment horizontal="left" vertical="center" wrapText="1"/>
    </xf>
    <xf numFmtId="0" fontId="0" fillId="0" borderId="8" xfId="0" applyBorder="1" applyAlignment="1">
      <alignment horizontal="left" vertical="center" wrapText="1"/>
    </xf>
    <xf numFmtId="0" fontId="12" fillId="2" borderId="2" xfId="0" applyFont="1" applyFill="1" applyBorder="1" applyAlignment="1">
      <alignment horizontal="center"/>
    </xf>
    <xf numFmtId="0" fontId="0" fillId="0" borderId="0" xfId="0" applyFill="1"/>
    <xf numFmtId="0" fontId="11" fillId="2" borderId="12" xfId="0" applyFont="1" applyFill="1" applyBorder="1" applyAlignment="1">
      <alignment horizontal="center" wrapText="1"/>
    </xf>
    <xf numFmtId="0" fontId="11" fillId="2" borderId="13" xfId="0" applyFont="1" applyFill="1" applyBorder="1" applyAlignment="1">
      <alignment horizontal="center" wrapText="1"/>
    </xf>
    <xf numFmtId="0" fontId="11" fillId="2" borderId="14" xfId="0" applyFont="1" applyFill="1" applyBorder="1" applyAlignment="1">
      <alignment horizontal="center" wrapText="1"/>
    </xf>
    <xf numFmtId="0" fontId="11" fillId="2" borderId="10" xfId="0" applyFont="1" applyFill="1" applyBorder="1" applyAlignment="1">
      <alignment horizontal="center" wrapText="1"/>
    </xf>
    <xf numFmtId="0" fontId="11" fillId="2" borderId="2" xfId="0" applyFont="1" applyFill="1" applyBorder="1" applyAlignment="1">
      <alignment horizontal="center" wrapText="1"/>
    </xf>
    <xf numFmtId="0" fontId="11" fillId="2" borderId="11" xfId="0" applyFont="1" applyFill="1" applyBorder="1" applyAlignment="1">
      <alignment horizontal="center" wrapText="1"/>
    </xf>
    <xf numFmtId="0" fontId="10" fillId="0" borderId="12" xfId="0" applyFont="1" applyFill="1" applyBorder="1" applyAlignment="1">
      <alignment horizontal="center" vertical="center" wrapText="1"/>
    </xf>
    <xf numFmtId="0" fontId="10" fillId="0" borderId="13" xfId="0" applyFont="1" applyFill="1" applyBorder="1" applyAlignment="1">
      <alignment horizontal="center" vertical="center" wrapText="1"/>
    </xf>
    <xf numFmtId="0" fontId="10" fillId="0" borderId="14" xfId="0" applyFont="1" applyFill="1" applyBorder="1" applyAlignment="1">
      <alignment horizontal="center" vertical="center" wrapText="1"/>
    </xf>
    <xf numFmtId="0" fontId="10" fillId="0" borderId="7" xfId="0" applyFont="1" applyFill="1" applyBorder="1" applyAlignment="1">
      <alignment horizontal="center" vertical="center" wrapText="1"/>
    </xf>
    <xf numFmtId="0" fontId="10" fillId="0" borderId="0" xfId="0" applyFont="1" applyFill="1" applyBorder="1" applyAlignment="1">
      <alignment horizontal="center" vertical="center" wrapText="1"/>
    </xf>
    <xf numFmtId="0" fontId="10" fillId="0" borderId="9" xfId="0" applyFont="1" applyFill="1" applyBorder="1" applyAlignment="1">
      <alignment horizontal="center" vertical="center" wrapText="1"/>
    </xf>
    <xf numFmtId="0" fontId="10" fillId="0" borderId="10"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0" fillId="0" borderId="11" xfId="0" applyFont="1" applyFill="1" applyBorder="1" applyAlignment="1">
      <alignment horizontal="center" vertical="center" wrapText="1"/>
    </xf>
    <xf numFmtId="0" fontId="11" fillId="0" borderId="8" xfId="0" applyFont="1" applyFill="1" applyBorder="1" applyAlignment="1">
      <alignment horizontal="center" wrapText="1"/>
    </xf>
    <xf numFmtId="0" fontId="11" fillId="0" borderId="15" xfId="0" applyFont="1" applyFill="1" applyBorder="1" applyAlignment="1">
      <alignment horizontal="center" wrapText="1"/>
    </xf>
    <xf numFmtId="0" fontId="11" fillId="0" borderId="6" xfId="0" applyFont="1" applyFill="1" applyBorder="1" applyAlignment="1">
      <alignment horizontal="center" wrapText="1"/>
    </xf>
    <xf numFmtId="0" fontId="14" fillId="2" borderId="13" xfId="0" applyFont="1" applyFill="1" applyBorder="1" applyAlignment="1">
      <alignment horizontal="center" wrapText="1"/>
    </xf>
    <xf numFmtId="0" fontId="14" fillId="2" borderId="14" xfId="0" applyFont="1" applyFill="1" applyBorder="1" applyAlignment="1">
      <alignment horizontal="center" wrapText="1"/>
    </xf>
    <xf numFmtId="0" fontId="14" fillId="2" borderId="2" xfId="0" applyFont="1" applyFill="1" applyBorder="1" applyAlignment="1">
      <alignment horizontal="center" wrapText="1"/>
    </xf>
    <xf numFmtId="0" fontId="14" fillId="2" borderId="11" xfId="0" applyFont="1" applyFill="1" applyBorder="1" applyAlignment="1">
      <alignment horizontal="center" wrapText="1"/>
    </xf>
    <xf numFmtId="0" fontId="0" fillId="0" borderId="3" xfId="0" applyFill="1" applyBorder="1" applyAlignment="1">
      <alignmen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Lenovo%20Files\Folder%20O\DESKTOP%2025.10.2021\Salary\incentive.xlsx" TargetMode="External"/><Relationship Id="rId1" Type="http://schemas.openxmlformats.org/officeDocument/2006/relationships/externalLinkPath" Target="file:///D:\Lenovo%20Files\Folder%20O\DESKTOP%2025.10.2021\Salary\incentiv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July 2020"/>
      <sheetName val="August 2020"/>
      <sheetName val="September 2020"/>
      <sheetName val="December 2020"/>
      <sheetName val="January 2021"/>
      <sheetName val="Feb 2021"/>
      <sheetName val="May 2021"/>
      <sheetName val="June2021"/>
      <sheetName val="July 2021"/>
      <sheetName val="August 2021"/>
      <sheetName val="September 2021"/>
      <sheetName val="Jan 22"/>
      <sheetName val="March 22"/>
      <sheetName val="Sheet6"/>
      <sheetName val="May 22"/>
      <sheetName val="August 20222"/>
      <sheetName val="July 2022"/>
      <sheetName val="June 2022"/>
      <sheetName val="March 2023"/>
      <sheetName val="May 2023"/>
      <sheetName val="July 2032"/>
      <sheetName val="AUG 2023"/>
      <sheetName val="sep 2025"/>
      <sheetName val="dEC 2025"/>
      <sheetName val="Nov 2025"/>
      <sheetName val="oct 25"/>
      <sheetName val="Aug 2025"/>
      <sheetName val="July 2025"/>
      <sheetName val="June 2023"/>
      <sheetName val="October 2023 (2)"/>
      <sheetName val="feb 2025"/>
      <sheetName val="Jan 2025"/>
      <sheetName val="Dec 2024"/>
      <sheetName val="March 2025"/>
      <sheetName val="April 2025"/>
      <sheetName val="June 2025"/>
      <sheetName val="May 2025"/>
      <sheetName val="Oman details"/>
      <sheetName val="Oct 2024"/>
      <sheetName val="Sep2024"/>
      <sheetName val="Aug 2024"/>
      <sheetName val="July 2024"/>
      <sheetName val="june 2024"/>
      <sheetName val="MAY 2024 (2)"/>
      <sheetName val="APril 2024"/>
      <sheetName val="March 2024"/>
      <sheetName val="February 2024"/>
      <sheetName val="January 2024"/>
      <sheetName val="December 2023"/>
      <sheetName val="November 2023"/>
      <sheetName val="September 2023"/>
      <sheetName val="Jan2023"/>
      <sheetName val="December 2022"/>
      <sheetName val="November 2022"/>
      <sheetName val="September 2022"/>
      <sheetName val="April22"/>
      <sheetName val="Sheet4"/>
      <sheetName val="December 2021"/>
      <sheetName val="oct 2021"/>
      <sheetName val="April 2021 "/>
      <sheetName val="March 2021"/>
      <sheetName val="October 2020"/>
      <sheetName val="November 2020"/>
      <sheetName val="June 2020"/>
      <sheetName val="March "/>
      <sheetName val="April"/>
      <sheetName val="jUNE 2019"/>
      <sheetName val="july 2019"/>
      <sheetName val="June 19"/>
      <sheetName val="May 19"/>
      <sheetName val="FEB"/>
      <sheetName val="August 2019"/>
      <sheetName val="September incentive"/>
      <sheetName val="SEPTEMBER"/>
      <sheetName val="Sheet3"/>
      <sheetName val="March incentive"/>
      <sheetName val="DEC"/>
      <sheetName val="JAN"/>
      <sheetName val="oct and nov 2019"/>
      <sheetName val="Dec 2019"/>
      <sheetName val="Sheet5"/>
      <sheetName val="March2020 incentive"/>
      <sheetName val="March 2020 "/>
      <sheetName val="may 2020"/>
      <sheetName val="jan 2020"/>
      <sheetName val="Sheet2"/>
      <sheetName val="feb 2020"/>
      <sheetName val="Jan 202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ow r="19">
          <cell r="F19">
            <v>6000</v>
          </cell>
          <cell r="G19">
            <v>2800</v>
          </cell>
        </row>
        <row r="33">
          <cell r="E33">
            <v>4097.16</v>
          </cell>
        </row>
        <row r="39">
          <cell r="C39">
            <v>1290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A63D5-3D1F-495D-84FB-0193ED2BC8ED}">
  <dimension ref="A1:AP44"/>
  <sheetViews>
    <sheetView tabSelected="1" zoomScale="96" zoomScaleNormal="96" workbookViewId="0">
      <pane xSplit="5" topLeftCell="AH1" activePane="topRight" state="frozen"/>
      <selection activeCell="D1" sqref="D1"/>
      <selection pane="topRight" activeCell="AQ1" sqref="AQ1"/>
    </sheetView>
  </sheetViews>
  <sheetFormatPr defaultRowHeight="15.5" x14ac:dyDescent="0.35"/>
  <cols>
    <col min="1" max="1" width="8.7265625" style="27"/>
    <col min="2" max="2" width="8.6328125" style="27" customWidth="1"/>
    <col min="3" max="3" width="16.453125" style="27" bestFit="1" customWidth="1"/>
    <col min="4" max="4" width="15.54296875" style="27" bestFit="1" customWidth="1"/>
    <col min="5" max="5" width="24.54296875" style="27" customWidth="1"/>
    <col min="6" max="6" width="19.1796875" style="27" bestFit="1" customWidth="1"/>
    <col min="7" max="7" width="8.7265625" style="27"/>
    <col min="8" max="11" width="8.7265625" style="27" customWidth="1"/>
    <col min="12" max="12" width="11.08984375" style="27" customWidth="1"/>
    <col min="13" max="13" width="7.90625" style="27" customWidth="1"/>
    <col min="14" max="14" width="12.6328125" style="27" customWidth="1"/>
    <col min="15" max="31" width="8.7265625" style="27"/>
    <col min="32" max="32" width="17" style="27" customWidth="1"/>
    <col min="33" max="33" width="9.1796875" style="27" bestFit="1" customWidth="1"/>
    <col min="34" max="34" width="10.36328125" style="27" bestFit="1" customWidth="1"/>
    <col min="35" max="35" width="7.81640625" style="27" bestFit="1" customWidth="1"/>
    <col min="36" max="36" width="13.81640625" style="27" bestFit="1" customWidth="1"/>
    <col min="37" max="37" width="6.36328125" style="27" bestFit="1" customWidth="1"/>
    <col min="38" max="38" width="18" style="27" bestFit="1" customWidth="1"/>
    <col min="39" max="39" width="11.6328125" style="27" bestFit="1" customWidth="1"/>
    <col min="40" max="40" width="75.26953125" style="27" hidden="1" customWidth="1"/>
    <col min="41" max="16384" width="8.7265625" style="27"/>
  </cols>
  <sheetData>
    <row r="1" spans="1:42" s="31" customFormat="1" x14ac:dyDescent="0.35">
      <c r="A1" s="25" t="s">
        <v>161</v>
      </c>
      <c r="B1" s="25" t="s">
        <v>78</v>
      </c>
      <c r="C1" s="25" t="s">
        <v>162</v>
      </c>
      <c r="D1" s="26" t="s">
        <v>95</v>
      </c>
      <c r="E1" s="25" t="s">
        <v>0</v>
      </c>
      <c r="F1" s="25" t="s">
        <v>1</v>
      </c>
      <c r="G1" s="25" t="s">
        <v>2</v>
      </c>
      <c r="H1" s="25" t="s">
        <v>3</v>
      </c>
      <c r="I1" s="25" t="s">
        <v>4</v>
      </c>
      <c r="J1" s="25" t="s">
        <v>5</v>
      </c>
      <c r="K1" s="25" t="s">
        <v>6</v>
      </c>
      <c r="L1" s="25" t="s">
        <v>7</v>
      </c>
      <c r="M1" s="25" t="s">
        <v>8</v>
      </c>
      <c r="N1" s="25" t="s">
        <v>9</v>
      </c>
      <c r="O1" s="25" t="s">
        <v>10</v>
      </c>
      <c r="P1" s="25" t="s">
        <v>11</v>
      </c>
      <c r="Q1" s="25" t="s">
        <v>12</v>
      </c>
      <c r="R1" s="25" t="s">
        <v>13</v>
      </c>
      <c r="S1" s="25" t="s">
        <v>4</v>
      </c>
      <c r="T1" s="25" t="s">
        <v>5</v>
      </c>
      <c r="U1" s="25" t="s">
        <v>14</v>
      </c>
      <c r="V1" s="25" t="s">
        <v>15</v>
      </c>
      <c r="W1" s="25" t="s">
        <v>16</v>
      </c>
      <c r="X1" s="25" t="s">
        <v>17</v>
      </c>
      <c r="Y1" s="25" t="s">
        <v>18</v>
      </c>
      <c r="Z1" s="25" t="s">
        <v>19</v>
      </c>
      <c r="AA1" s="25" t="s">
        <v>6</v>
      </c>
      <c r="AB1" s="25" t="s">
        <v>20</v>
      </c>
      <c r="AC1" s="25" t="s">
        <v>21</v>
      </c>
      <c r="AD1" s="25" t="s">
        <v>22</v>
      </c>
      <c r="AE1" s="25" t="s">
        <v>23</v>
      </c>
      <c r="AF1" s="25" t="s">
        <v>8</v>
      </c>
      <c r="AG1" s="25" t="s">
        <v>24</v>
      </c>
      <c r="AH1" s="25" t="s">
        <v>25</v>
      </c>
      <c r="AI1" s="25" t="s">
        <v>26</v>
      </c>
      <c r="AJ1" s="25" t="s">
        <v>27</v>
      </c>
      <c r="AK1" s="25" t="s">
        <v>28</v>
      </c>
      <c r="AL1" s="25" t="s">
        <v>29</v>
      </c>
      <c r="AM1" s="25" t="s">
        <v>30</v>
      </c>
    </row>
    <row r="2" spans="1:42" x14ac:dyDescent="0.35">
      <c r="A2" s="27">
        <v>3</v>
      </c>
      <c r="B2" s="26" t="s">
        <v>160</v>
      </c>
      <c r="C2" s="26" t="s">
        <v>33</v>
      </c>
      <c r="D2" s="26" t="s">
        <v>96</v>
      </c>
      <c r="E2" s="26" t="s">
        <v>32</v>
      </c>
      <c r="F2" s="26" t="s">
        <v>31</v>
      </c>
      <c r="G2" s="26">
        <v>31</v>
      </c>
      <c r="H2" s="26" t="s">
        <v>33</v>
      </c>
      <c r="I2" s="26" t="s">
        <v>33</v>
      </c>
      <c r="J2" s="26" t="s">
        <v>33</v>
      </c>
      <c r="K2" s="26" t="s">
        <v>33</v>
      </c>
      <c r="L2" s="26" t="s">
        <v>33</v>
      </c>
      <c r="M2" s="26" t="s">
        <v>33</v>
      </c>
      <c r="N2" s="26" t="s">
        <v>33</v>
      </c>
      <c r="O2" s="26"/>
      <c r="P2" s="26"/>
      <c r="Q2" s="26"/>
      <c r="R2" s="26" t="s">
        <v>33</v>
      </c>
      <c r="S2" s="26" t="s">
        <v>33</v>
      </c>
      <c r="T2" s="26" t="s">
        <v>33</v>
      </c>
      <c r="U2" s="26"/>
      <c r="V2" s="26">
        <v>0</v>
      </c>
      <c r="W2" s="26">
        <v>0</v>
      </c>
      <c r="X2" s="26">
        <v>0</v>
      </c>
      <c r="Y2" s="26">
        <v>0</v>
      </c>
      <c r="Z2" s="26">
        <v>0</v>
      </c>
      <c r="AA2" s="26">
        <v>0</v>
      </c>
      <c r="AB2" s="26">
        <v>0</v>
      </c>
      <c r="AC2" s="26">
        <v>0</v>
      </c>
      <c r="AD2" s="26">
        <v>0</v>
      </c>
      <c r="AE2" s="26">
        <v>0</v>
      </c>
      <c r="AF2" s="26">
        <v>0</v>
      </c>
      <c r="AG2" s="26">
        <v>0</v>
      </c>
      <c r="AH2" s="26">
        <v>0</v>
      </c>
      <c r="AI2" s="44">
        <v>0</v>
      </c>
      <c r="AJ2" s="26">
        <v>0</v>
      </c>
      <c r="AK2" s="26">
        <v>0</v>
      </c>
      <c r="AL2" s="26">
        <v>0</v>
      </c>
      <c r="AM2" s="32">
        <v>0</v>
      </c>
    </row>
    <row r="3" spans="1:42" x14ac:dyDescent="0.35">
      <c r="A3" s="27">
        <v>4</v>
      </c>
      <c r="B3" s="26" t="s">
        <v>160</v>
      </c>
      <c r="C3" s="26" t="s">
        <v>164</v>
      </c>
      <c r="D3" s="26" t="s">
        <v>97</v>
      </c>
      <c r="E3" s="26" t="s">
        <v>34</v>
      </c>
      <c r="F3" s="26" t="s">
        <v>35</v>
      </c>
      <c r="G3" s="26">
        <v>31</v>
      </c>
      <c r="H3" s="26">
        <v>35500</v>
      </c>
      <c r="I3" s="26">
        <v>17750</v>
      </c>
      <c r="J3" s="26">
        <v>11750</v>
      </c>
      <c r="K3" s="26">
        <v>0</v>
      </c>
      <c r="L3" s="26">
        <v>65000</v>
      </c>
      <c r="M3" s="26">
        <v>1800</v>
      </c>
      <c r="N3" s="26">
        <v>0</v>
      </c>
      <c r="O3" s="26">
        <v>31</v>
      </c>
      <c r="P3" s="26">
        <v>0</v>
      </c>
      <c r="Q3" s="26">
        <v>0</v>
      </c>
      <c r="R3" s="26">
        <v>35500</v>
      </c>
      <c r="S3" s="26">
        <v>17750</v>
      </c>
      <c r="T3" s="26">
        <v>11750</v>
      </c>
      <c r="U3" s="26">
        <f>'[1]Jan 2026'!$F$19</f>
        <v>6000</v>
      </c>
      <c r="V3" s="26">
        <v>0</v>
      </c>
      <c r="W3" s="26">
        <v>0</v>
      </c>
      <c r="X3" s="26">
        <v>0</v>
      </c>
      <c r="Y3" s="26">
        <v>0</v>
      </c>
      <c r="AA3" s="26">
        <v>0</v>
      </c>
      <c r="AB3" s="26">
        <f t="shared" ref="AB3:AB5" si="0">SUM(R3:AA3)</f>
        <v>71000</v>
      </c>
      <c r="AC3" s="26">
        <v>0</v>
      </c>
      <c r="AD3" s="26">
        <v>0</v>
      </c>
      <c r="AE3" s="26">
        <v>0</v>
      </c>
      <c r="AF3" s="26">
        <f t="shared" ref="AF3:AF7" si="1">IF(AB3-AI3&gt;=15000, 1800)</f>
        <v>1800</v>
      </c>
      <c r="AG3" s="26">
        <f>ROUNDUP(IF((AB3-AI3)&gt;=21001,0,(AB3-AI3)*0.75%),0)</f>
        <v>0</v>
      </c>
      <c r="AH3" s="26"/>
      <c r="AI3" s="44">
        <f t="shared" ref="AI3:AI5" si="2">L3/G3*Q3</f>
        <v>0</v>
      </c>
      <c r="AJ3" s="26">
        <v>0</v>
      </c>
      <c r="AK3" s="26">
        <v>0</v>
      </c>
      <c r="AL3" s="26">
        <f t="shared" ref="AL3:AL5" si="3">AC3*1%+AH3*1%+210</f>
        <v>210</v>
      </c>
      <c r="AM3" s="32">
        <f>AB3-AD3-AF3-AG3-AH3-AI3-AJ3-AK3-AL3</f>
        <v>68990</v>
      </c>
      <c r="AO3" s="27" t="s">
        <v>130</v>
      </c>
    </row>
    <row r="4" spans="1:42" x14ac:dyDescent="0.35">
      <c r="A4" s="27">
        <v>5</v>
      </c>
      <c r="B4" s="26" t="s">
        <v>160</v>
      </c>
      <c r="C4" s="26" t="s">
        <v>164</v>
      </c>
      <c r="D4" s="26" t="s">
        <v>98</v>
      </c>
      <c r="E4" s="26" t="s">
        <v>36</v>
      </c>
      <c r="F4" s="26" t="s">
        <v>37</v>
      </c>
      <c r="G4" s="26">
        <v>31</v>
      </c>
      <c r="H4" s="26">
        <v>15000</v>
      </c>
      <c r="I4" s="26">
        <v>7500</v>
      </c>
      <c r="J4" s="26">
        <v>7500</v>
      </c>
      <c r="K4" s="26">
        <v>3000</v>
      </c>
      <c r="L4" s="26">
        <v>33000</v>
      </c>
      <c r="M4" s="26">
        <v>1800</v>
      </c>
      <c r="N4" s="26">
        <v>0</v>
      </c>
      <c r="O4" s="26">
        <v>30</v>
      </c>
      <c r="P4" s="26">
        <v>1</v>
      </c>
      <c r="Q4" s="26">
        <v>0</v>
      </c>
      <c r="R4" s="26">
        <v>15000</v>
      </c>
      <c r="S4" s="26">
        <v>7500</v>
      </c>
      <c r="T4" s="26">
        <v>7500</v>
      </c>
      <c r="U4" s="26">
        <f>'[1]Jan 2026'!$C$39</f>
        <v>1290</v>
      </c>
      <c r="V4" s="26"/>
      <c r="W4" s="26">
        <v>3000</v>
      </c>
      <c r="X4" s="26">
        <v>0</v>
      </c>
      <c r="Y4" s="26">
        <v>0</v>
      </c>
      <c r="Z4" s="26">
        <v>6000</v>
      </c>
      <c r="AA4" s="26">
        <v>0</v>
      </c>
      <c r="AB4" s="26">
        <f t="shared" si="0"/>
        <v>40290</v>
      </c>
      <c r="AC4" s="26">
        <v>10000</v>
      </c>
      <c r="AD4" s="26">
        <v>5000</v>
      </c>
      <c r="AE4" s="26">
        <v>5000</v>
      </c>
      <c r="AF4" s="26">
        <f t="shared" si="1"/>
        <v>1800</v>
      </c>
      <c r="AG4" s="26">
        <f>ROUNDUP(IF((AB4-AI4)&gt;=21001,0,(AB4-AI4)*0.75%),0)</f>
        <v>0</v>
      </c>
      <c r="AH4" s="26"/>
      <c r="AI4" s="44">
        <f t="shared" si="2"/>
        <v>0</v>
      </c>
      <c r="AJ4" s="26">
        <v>0</v>
      </c>
      <c r="AK4" s="26">
        <v>0</v>
      </c>
      <c r="AL4" s="26">
        <f t="shared" si="3"/>
        <v>310</v>
      </c>
      <c r="AM4" s="32">
        <f t="shared" ref="AM4:AM27" si="4">AB4-AD4-AF4-AG4-AH4-AI4-AJ4-AK4-AL4</f>
        <v>33180</v>
      </c>
      <c r="AO4" s="27" t="s">
        <v>179</v>
      </c>
    </row>
    <row r="5" spans="1:42" x14ac:dyDescent="0.35">
      <c r="A5" s="27">
        <v>6</v>
      </c>
      <c r="B5" s="26" t="s">
        <v>160</v>
      </c>
      <c r="C5" s="26" t="s">
        <v>164</v>
      </c>
      <c r="D5" s="26" t="s">
        <v>99</v>
      </c>
      <c r="E5" s="26" t="s">
        <v>38</v>
      </c>
      <c r="F5" s="26" t="s">
        <v>39</v>
      </c>
      <c r="G5" s="26">
        <v>31</v>
      </c>
      <c r="H5" s="26">
        <v>19500</v>
      </c>
      <c r="I5" s="26">
        <v>9750</v>
      </c>
      <c r="J5" s="26">
        <v>5750</v>
      </c>
      <c r="K5" s="26">
        <v>4000</v>
      </c>
      <c r="L5" s="26">
        <v>39000</v>
      </c>
      <c r="M5" s="26">
        <v>1800</v>
      </c>
      <c r="N5" s="26">
        <v>0</v>
      </c>
      <c r="O5" s="26">
        <v>24</v>
      </c>
      <c r="P5" s="26">
        <v>7</v>
      </c>
      <c r="Q5" s="26">
        <v>0</v>
      </c>
      <c r="R5" s="26">
        <v>19500</v>
      </c>
      <c r="S5" s="26">
        <v>9750</v>
      </c>
      <c r="T5" s="26">
        <v>5750</v>
      </c>
      <c r="U5" s="26">
        <f>'[1]Jan 2026'!$G$19</f>
        <v>2800</v>
      </c>
      <c r="V5" s="26"/>
      <c r="W5" s="26">
        <v>4000</v>
      </c>
      <c r="X5" s="26">
        <v>0</v>
      </c>
      <c r="Y5" s="26">
        <v>0</v>
      </c>
      <c r="AA5" s="26">
        <v>0</v>
      </c>
      <c r="AB5" s="26">
        <f t="shared" si="0"/>
        <v>41800</v>
      </c>
      <c r="AC5" s="26">
        <v>30000</v>
      </c>
      <c r="AD5" s="26">
        <v>5000</v>
      </c>
      <c r="AE5" s="26">
        <f>AC5-AD5</f>
        <v>25000</v>
      </c>
      <c r="AF5" s="26">
        <f t="shared" si="1"/>
        <v>1800</v>
      </c>
      <c r="AG5" s="26">
        <f>ROUNDUP(IF((AB5-AI5)&gt;=21001,0,(AB5-AI5)*0.75%),0)</f>
        <v>0</v>
      </c>
      <c r="AH5" s="26"/>
      <c r="AI5" s="44">
        <f t="shared" si="2"/>
        <v>0</v>
      </c>
      <c r="AJ5" s="26">
        <v>0</v>
      </c>
      <c r="AK5" s="26">
        <v>0</v>
      </c>
      <c r="AL5" s="26">
        <f t="shared" si="3"/>
        <v>510</v>
      </c>
      <c r="AM5" s="32">
        <f t="shared" si="4"/>
        <v>34490</v>
      </c>
      <c r="AO5" s="27" t="s">
        <v>130</v>
      </c>
    </row>
    <row r="6" spans="1:42" s="45" customFormat="1" x14ac:dyDescent="0.35">
      <c r="A6" s="26">
        <v>9</v>
      </c>
      <c r="B6" s="26" t="s">
        <v>160</v>
      </c>
      <c r="C6" s="26" t="s">
        <v>176</v>
      </c>
      <c r="D6" s="26" t="s">
        <v>177</v>
      </c>
      <c r="E6" s="26" t="s">
        <v>178</v>
      </c>
      <c r="F6" s="26" t="s">
        <v>40</v>
      </c>
      <c r="G6" s="26">
        <v>31</v>
      </c>
      <c r="H6" s="26">
        <v>15500</v>
      </c>
      <c r="I6" s="26">
        <v>7750</v>
      </c>
      <c r="J6" s="26">
        <v>5750</v>
      </c>
      <c r="K6" s="26">
        <v>0</v>
      </c>
      <c r="L6" s="26">
        <v>29000</v>
      </c>
      <c r="M6" s="26">
        <v>1800</v>
      </c>
      <c r="N6" s="26">
        <v>0</v>
      </c>
      <c r="O6" s="26">
        <v>20</v>
      </c>
      <c r="P6" s="26">
        <v>11</v>
      </c>
      <c r="Q6" s="26">
        <v>9</v>
      </c>
      <c r="R6" s="26">
        <v>15500</v>
      </c>
      <c r="S6" s="26">
        <v>7750</v>
      </c>
      <c r="T6" s="26">
        <v>5750</v>
      </c>
      <c r="U6" s="26">
        <v>0</v>
      </c>
      <c r="V6" s="26">
        <v>0</v>
      </c>
      <c r="W6" s="26">
        <v>0</v>
      </c>
      <c r="X6" s="26">
        <v>0</v>
      </c>
      <c r="Y6" s="27">
        <v>0</v>
      </c>
      <c r="Z6" s="26">
        <v>0</v>
      </c>
      <c r="AA6" s="26">
        <v>0</v>
      </c>
      <c r="AB6" s="26">
        <f t="shared" ref="AB6" si="5">SUM(R6:AA6)</f>
        <v>29000</v>
      </c>
      <c r="AC6" s="26"/>
      <c r="AD6" s="26">
        <v>0</v>
      </c>
      <c r="AE6" s="26">
        <f t="shared" ref="AE6" si="6">AC6-AD6</f>
        <v>0</v>
      </c>
      <c r="AF6" s="26">
        <v>1800</v>
      </c>
      <c r="AG6" s="26">
        <v>0</v>
      </c>
      <c r="AH6" s="44">
        <v>1219</v>
      </c>
      <c r="AI6" s="32">
        <f>L6/G6*Q6</f>
        <v>8419.354838709678</v>
      </c>
      <c r="AJ6" s="26">
        <v>0</v>
      </c>
      <c r="AK6" s="26">
        <v>0</v>
      </c>
      <c r="AL6" s="32">
        <f>AC6*1%+AH6*1%+210</f>
        <v>222.19</v>
      </c>
      <c r="AM6" s="32">
        <f t="shared" si="4"/>
        <v>17339.455161290323</v>
      </c>
      <c r="AO6" s="45" t="s">
        <v>182</v>
      </c>
    </row>
    <row r="7" spans="1:42" x14ac:dyDescent="0.35">
      <c r="A7" s="27">
        <v>8</v>
      </c>
      <c r="B7" s="26" t="s">
        <v>160</v>
      </c>
      <c r="C7" s="26" t="s">
        <v>164</v>
      </c>
      <c r="D7" s="26" t="s">
        <v>100</v>
      </c>
      <c r="E7" s="26" t="s">
        <v>41</v>
      </c>
      <c r="F7" s="26" t="s">
        <v>42</v>
      </c>
      <c r="G7" s="26">
        <v>31</v>
      </c>
      <c r="H7" s="26">
        <v>26500</v>
      </c>
      <c r="I7" s="26">
        <v>13000</v>
      </c>
      <c r="J7" s="26">
        <v>11500</v>
      </c>
      <c r="K7" s="26">
        <v>2000</v>
      </c>
      <c r="L7" s="26">
        <v>53000</v>
      </c>
      <c r="M7" s="26">
        <v>1800</v>
      </c>
      <c r="N7" s="26">
        <v>0</v>
      </c>
      <c r="O7" s="26">
        <v>31</v>
      </c>
      <c r="P7" s="26">
        <v>0</v>
      </c>
      <c r="Q7" s="26">
        <v>0</v>
      </c>
      <c r="R7" s="26">
        <v>26500</v>
      </c>
      <c r="S7" s="26">
        <v>13000</v>
      </c>
      <c r="T7" s="26">
        <v>11500</v>
      </c>
      <c r="U7" s="26"/>
      <c r="V7" s="26"/>
      <c r="W7" s="26">
        <v>2000</v>
      </c>
      <c r="X7" s="26">
        <v>0</v>
      </c>
      <c r="Y7" s="26">
        <v>0</v>
      </c>
      <c r="Z7" s="26">
        <v>0</v>
      </c>
      <c r="AA7" s="26">
        <v>0</v>
      </c>
      <c r="AB7" s="26">
        <f>SUM(R7:AA7)</f>
        <v>53000</v>
      </c>
      <c r="AC7" s="26">
        <v>10000</v>
      </c>
      <c r="AD7" s="26">
        <v>5000</v>
      </c>
      <c r="AE7" s="26">
        <f>AC7-AD7</f>
        <v>5000</v>
      </c>
      <c r="AF7" s="26">
        <f t="shared" si="1"/>
        <v>1800</v>
      </c>
      <c r="AG7" s="26">
        <v>0</v>
      </c>
      <c r="AH7" s="26"/>
      <c r="AI7" s="44">
        <f t="shared" ref="AI7:AI28" si="7">L7/G7*Q7</f>
        <v>0</v>
      </c>
      <c r="AJ7" s="26">
        <v>0</v>
      </c>
      <c r="AK7" s="26">
        <v>0</v>
      </c>
      <c r="AL7" s="26">
        <f>AC7*1%+210+5000</f>
        <v>5310</v>
      </c>
      <c r="AM7" s="32">
        <f t="shared" si="4"/>
        <v>40890</v>
      </c>
      <c r="AO7" s="27" t="s">
        <v>130</v>
      </c>
    </row>
    <row r="8" spans="1:42" s="34" customFormat="1" x14ac:dyDescent="0.35">
      <c r="A8" s="27">
        <v>9</v>
      </c>
      <c r="B8" s="26" t="s">
        <v>160</v>
      </c>
      <c r="C8" s="26" t="s">
        <v>165</v>
      </c>
      <c r="D8" s="28" t="s">
        <v>101</v>
      </c>
      <c r="E8" s="28" t="s">
        <v>43</v>
      </c>
      <c r="F8" s="28" t="s">
        <v>44</v>
      </c>
      <c r="G8" s="26">
        <v>31</v>
      </c>
      <c r="H8" s="28">
        <v>10000</v>
      </c>
      <c r="I8" s="28">
        <v>5000</v>
      </c>
      <c r="J8" s="28">
        <v>5000</v>
      </c>
      <c r="K8" s="28">
        <v>3000</v>
      </c>
      <c r="L8" s="28">
        <v>23000</v>
      </c>
      <c r="M8" s="28">
        <v>0</v>
      </c>
      <c r="N8" s="28">
        <v>0</v>
      </c>
      <c r="O8" s="26">
        <v>31</v>
      </c>
      <c r="P8" s="26">
        <v>0</v>
      </c>
      <c r="Q8" s="26">
        <v>0</v>
      </c>
      <c r="R8" s="28">
        <v>10000</v>
      </c>
      <c r="S8" s="28">
        <v>5000</v>
      </c>
      <c r="T8" s="28">
        <v>5000</v>
      </c>
      <c r="U8" s="28"/>
      <c r="V8" s="28"/>
      <c r="W8" s="28">
        <v>3000</v>
      </c>
      <c r="X8" s="28">
        <v>0</v>
      </c>
      <c r="Y8" s="34">
        <v>0</v>
      </c>
      <c r="Z8" s="28">
        <v>0</v>
      </c>
      <c r="AA8" s="28">
        <v>0</v>
      </c>
      <c r="AB8" s="28">
        <f>SUM(R8:AA8)</f>
        <v>23000</v>
      </c>
      <c r="AC8" s="28">
        <f>5000+5000</f>
        <v>10000</v>
      </c>
      <c r="AD8" s="28">
        <v>5000</v>
      </c>
      <c r="AE8" s="28">
        <f>AC8-AD8</f>
        <v>5000</v>
      </c>
      <c r="AF8" s="28">
        <v>0</v>
      </c>
      <c r="AG8" s="28">
        <v>0</v>
      </c>
      <c r="AH8" s="28"/>
      <c r="AI8" s="44">
        <f t="shared" si="7"/>
        <v>0</v>
      </c>
      <c r="AJ8" s="28">
        <v>0</v>
      </c>
      <c r="AK8" s="28">
        <v>0</v>
      </c>
      <c r="AL8" s="32">
        <v>100</v>
      </c>
      <c r="AM8" s="32">
        <f t="shared" si="4"/>
        <v>17900</v>
      </c>
      <c r="AN8" s="34" t="s">
        <v>143</v>
      </c>
      <c r="AO8" s="34" t="s">
        <v>130</v>
      </c>
    </row>
    <row r="9" spans="1:42" s="34" customFormat="1" x14ac:dyDescent="0.35">
      <c r="A9" s="27">
        <v>10</v>
      </c>
      <c r="B9" s="26" t="s">
        <v>159</v>
      </c>
      <c r="C9" s="26" t="s">
        <v>163</v>
      </c>
      <c r="D9" s="28" t="s">
        <v>102</v>
      </c>
      <c r="E9" s="28" t="s">
        <v>45</v>
      </c>
      <c r="F9" s="28" t="s">
        <v>46</v>
      </c>
      <c r="G9" s="26">
        <v>31</v>
      </c>
      <c r="H9" s="43">
        <v>10000</v>
      </c>
      <c r="I9" s="43">
        <v>5000</v>
      </c>
      <c r="J9" s="43">
        <v>5000</v>
      </c>
      <c r="K9" s="28">
        <v>0</v>
      </c>
      <c r="L9" s="43">
        <v>20000</v>
      </c>
      <c r="M9" s="43">
        <v>1800</v>
      </c>
      <c r="N9" s="28">
        <v>0</v>
      </c>
      <c r="O9" s="26">
        <v>28.5</v>
      </c>
      <c r="P9" s="26">
        <v>2.5</v>
      </c>
      <c r="Q9" s="26">
        <v>1.5</v>
      </c>
      <c r="R9" s="28">
        <v>10000</v>
      </c>
      <c r="S9" s="28">
        <v>5000</v>
      </c>
      <c r="T9" s="28">
        <v>5000</v>
      </c>
      <c r="U9" s="28"/>
      <c r="V9" s="33">
        <f>'Factory Overtime working'!F3</f>
        <v>2500</v>
      </c>
      <c r="W9" s="28">
        <v>0</v>
      </c>
      <c r="X9" s="28">
        <v>0</v>
      </c>
      <c r="Y9" s="28">
        <v>0</v>
      </c>
      <c r="Z9" s="28" t="s">
        <v>130</v>
      </c>
      <c r="AA9" s="28">
        <v>0</v>
      </c>
      <c r="AB9" s="33">
        <f>SUM(R9:AA9)</f>
        <v>22500</v>
      </c>
      <c r="AC9" s="28">
        <v>0</v>
      </c>
      <c r="AD9" s="28">
        <v>0</v>
      </c>
      <c r="AE9" s="28">
        <v>0</v>
      </c>
      <c r="AF9" s="43">
        <f t="shared" ref="AF9" si="8">IF(AB9-AI9&gt;=15000, 1800)</f>
        <v>1800</v>
      </c>
      <c r="AG9" s="44">
        <v>162</v>
      </c>
      <c r="AH9" s="28"/>
      <c r="AI9" s="44">
        <f>L9/G9*Q9</f>
        <v>967.74193548387098</v>
      </c>
      <c r="AJ9" s="28">
        <v>0</v>
      </c>
      <c r="AK9" s="28">
        <v>0</v>
      </c>
      <c r="AL9" s="28">
        <f>AC9*1%+AH9*1%+210</f>
        <v>210</v>
      </c>
      <c r="AM9" s="32">
        <f t="shared" si="4"/>
        <v>19360.258064516129</v>
      </c>
      <c r="AN9" s="34" t="s">
        <v>144</v>
      </c>
    </row>
    <row r="10" spans="1:42" x14ac:dyDescent="0.35">
      <c r="A10" s="27">
        <v>12</v>
      </c>
      <c r="B10" s="26" t="s">
        <v>160</v>
      </c>
      <c r="C10" s="26" t="s">
        <v>164</v>
      </c>
      <c r="D10" s="26" t="s">
        <v>103</v>
      </c>
      <c r="E10" s="26" t="s">
        <v>47</v>
      </c>
      <c r="F10" s="26" t="s">
        <v>48</v>
      </c>
      <c r="G10" s="26">
        <v>31</v>
      </c>
      <c r="H10" s="26">
        <v>10000</v>
      </c>
      <c r="I10" s="26">
        <v>5000</v>
      </c>
      <c r="J10" s="26">
        <v>5000</v>
      </c>
      <c r="K10" s="26">
        <v>1000</v>
      </c>
      <c r="L10" s="26">
        <v>21000</v>
      </c>
      <c r="M10" s="26">
        <v>1800</v>
      </c>
      <c r="N10" s="26">
        <v>0</v>
      </c>
      <c r="O10" s="26">
        <v>30</v>
      </c>
      <c r="P10" s="26">
        <v>1</v>
      </c>
      <c r="Q10" s="26">
        <v>0</v>
      </c>
      <c r="R10" s="26">
        <v>10000</v>
      </c>
      <c r="S10" s="26">
        <v>5000</v>
      </c>
      <c r="T10" s="26">
        <v>5000</v>
      </c>
      <c r="U10" s="26"/>
      <c r="V10" s="26"/>
      <c r="W10" s="26">
        <v>0</v>
      </c>
      <c r="X10" s="26">
        <v>0</v>
      </c>
      <c r="Y10" s="26">
        <v>0</v>
      </c>
      <c r="Z10" s="28">
        <v>0</v>
      </c>
      <c r="AA10" s="26">
        <v>0</v>
      </c>
      <c r="AB10" s="26">
        <f t="shared" ref="AB10:AB12" si="9">SUM(R10:AA10)</f>
        <v>20000</v>
      </c>
      <c r="AC10" s="26">
        <v>9000</v>
      </c>
      <c r="AD10" s="26">
        <v>3000</v>
      </c>
      <c r="AE10" s="26">
        <f>AC10-AD10</f>
        <v>6000</v>
      </c>
      <c r="AF10" s="26">
        <f t="shared" ref="AF10:AF12" si="10">IF(AB10-AI10&gt;=15000, 1800)</f>
        <v>1800</v>
      </c>
      <c r="AG10" s="26">
        <f>ROUNDUP(IF((AB10-AI10)&gt;=21001,0,(AB10-AI10)*0.75%),0)</f>
        <v>150</v>
      </c>
      <c r="AH10" s="26"/>
      <c r="AI10" s="44">
        <f t="shared" si="7"/>
        <v>0</v>
      </c>
      <c r="AJ10" s="26">
        <v>0</v>
      </c>
      <c r="AK10" s="26">
        <v>0</v>
      </c>
      <c r="AL10" s="26">
        <f>AC10*1%+AH10*1%+210</f>
        <v>300</v>
      </c>
      <c r="AM10" s="32">
        <f t="shared" si="4"/>
        <v>14750</v>
      </c>
      <c r="AN10" s="27" t="s">
        <v>142</v>
      </c>
      <c r="AO10" s="27" t="s">
        <v>172</v>
      </c>
    </row>
    <row r="11" spans="1:42" x14ac:dyDescent="0.35">
      <c r="A11" s="27">
        <v>13</v>
      </c>
      <c r="B11" s="26" t="s">
        <v>160</v>
      </c>
      <c r="C11" s="26" t="s">
        <v>164</v>
      </c>
      <c r="D11" s="26" t="s">
        <v>104</v>
      </c>
      <c r="E11" s="26" t="s">
        <v>49</v>
      </c>
      <c r="F11" s="26" t="s">
        <v>50</v>
      </c>
      <c r="G11" s="26">
        <v>31</v>
      </c>
      <c r="H11" s="26">
        <v>22500</v>
      </c>
      <c r="I11" s="26">
        <v>11250</v>
      </c>
      <c r="J11" s="26">
        <v>11250</v>
      </c>
      <c r="K11" s="26">
        <v>4000</v>
      </c>
      <c r="L11" s="26">
        <v>49000</v>
      </c>
      <c r="M11" s="26">
        <v>1800</v>
      </c>
      <c r="N11" s="26">
        <v>0</v>
      </c>
      <c r="O11" s="26">
        <v>30</v>
      </c>
      <c r="P11" s="26">
        <v>1</v>
      </c>
      <c r="Q11" s="26">
        <v>0</v>
      </c>
      <c r="R11" s="26">
        <v>22500</v>
      </c>
      <c r="S11" s="26">
        <v>11250</v>
      </c>
      <c r="T11" s="26">
        <v>11250</v>
      </c>
      <c r="U11" s="32">
        <f>'[1]Jan 2026'!$E$33</f>
        <v>4097.16</v>
      </c>
      <c r="V11" s="26"/>
      <c r="W11" s="26">
        <v>4000</v>
      </c>
      <c r="X11" s="26">
        <v>0</v>
      </c>
      <c r="Y11" s="26">
        <v>0</v>
      </c>
      <c r="Z11" s="28">
        <v>0</v>
      </c>
      <c r="AA11" s="26">
        <v>0</v>
      </c>
      <c r="AB11" s="32">
        <f t="shared" si="9"/>
        <v>53097.16</v>
      </c>
      <c r="AC11" s="26">
        <v>0</v>
      </c>
      <c r="AD11" s="26">
        <v>0</v>
      </c>
      <c r="AE11" s="26">
        <v>0</v>
      </c>
      <c r="AF11" s="26">
        <f t="shared" si="10"/>
        <v>1800</v>
      </c>
      <c r="AG11" s="26">
        <f>ROUNDUP(IF((AB11-AI11)&gt;=21001,0,(AB11-AI11)*0.75%),0)</f>
        <v>0</v>
      </c>
      <c r="AH11" s="26"/>
      <c r="AI11" s="44">
        <f t="shared" si="7"/>
        <v>0</v>
      </c>
      <c r="AJ11" s="26">
        <v>0</v>
      </c>
      <c r="AK11" s="26">
        <v>0</v>
      </c>
      <c r="AL11" s="26">
        <f t="shared" ref="AL11:AL18" si="11">AC11*1%+AH11*1%+210</f>
        <v>210</v>
      </c>
      <c r="AM11" s="32">
        <f t="shared" si="4"/>
        <v>51087.16</v>
      </c>
      <c r="AO11" s="27" t="s">
        <v>130</v>
      </c>
    </row>
    <row r="12" spans="1:42" x14ac:dyDescent="0.35">
      <c r="A12" s="27">
        <v>14</v>
      </c>
      <c r="B12" s="26" t="s">
        <v>159</v>
      </c>
      <c r="C12" s="26" t="s">
        <v>163</v>
      </c>
      <c r="D12" s="26" t="s">
        <v>105</v>
      </c>
      <c r="E12" s="26" t="s">
        <v>51</v>
      </c>
      <c r="F12" s="26" t="s">
        <v>52</v>
      </c>
      <c r="G12" s="26">
        <v>31</v>
      </c>
      <c r="H12" s="26">
        <v>18500</v>
      </c>
      <c r="I12" s="26">
        <v>9250</v>
      </c>
      <c r="J12" s="26">
        <v>9250</v>
      </c>
      <c r="K12" s="26">
        <v>0</v>
      </c>
      <c r="L12" s="26">
        <v>37000</v>
      </c>
      <c r="M12" s="26">
        <v>1800</v>
      </c>
      <c r="N12" s="26">
        <v>0</v>
      </c>
      <c r="O12" s="26">
        <v>30</v>
      </c>
      <c r="P12" s="26">
        <v>1</v>
      </c>
      <c r="Q12" s="26">
        <v>0</v>
      </c>
      <c r="R12" s="26">
        <v>18500</v>
      </c>
      <c r="S12" s="26">
        <v>9250</v>
      </c>
      <c r="T12" s="26">
        <v>9250</v>
      </c>
      <c r="U12" s="26"/>
      <c r="V12" s="32">
        <f>'Factory Overtime working'!F4</f>
        <v>0</v>
      </c>
      <c r="W12" s="26">
        <v>0</v>
      </c>
      <c r="X12" s="26">
        <v>0</v>
      </c>
      <c r="Y12" s="26">
        <v>0</v>
      </c>
      <c r="Z12" s="28">
        <v>0</v>
      </c>
      <c r="AA12" s="26">
        <v>0</v>
      </c>
      <c r="AB12" s="32">
        <f t="shared" si="9"/>
        <v>37000</v>
      </c>
      <c r="AC12" s="26">
        <v>0</v>
      </c>
      <c r="AD12" s="26">
        <v>0</v>
      </c>
      <c r="AE12" s="26">
        <v>0</v>
      </c>
      <c r="AF12" s="26">
        <f t="shared" si="10"/>
        <v>1800</v>
      </c>
      <c r="AG12" s="26">
        <f t="shared" ref="AG12" si="12">ROUNDUP(IF((AB12-AI12)&gt;=21001,0,(AB12-AI12)*0.75%),0)</f>
        <v>0</v>
      </c>
      <c r="AH12" s="26"/>
      <c r="AI12" s="44">
        <f t="shared" si="7"/>
        <v>0</v>
      </c>
      <c r="AJ12" s="26">
        <v>0</v>
      </c>
      <c r="AK12" s="26">
        <v>0</v>
      </c>
      <c r="AL12" s="26">
        <f t="shared" si="11"/>
        <v>210</v>
      </c>
      <c r="AM12" s="32">
        <f>AB12-AF12-AI12-AL12</f>
        <v>34990</v>
      </c>
    </row>
    <row r="13" spans="1:42" x14ac:dyDescent="0.35">
      <c r="A13" s="27">
        <v>15</v>
      </c>
      <c r="B13" s="26" t="s">
        <v>160</v>
      </c>
      <c r="C13" s="26" t="s">
        <v>165</v>
      </c>
      <c r="D13" s="26" t="s">
        <v>106</v>
      </c>
      <c r="E13" s="26" t="s">
        <v>53</v>
      </c>
      <c r="F13" s="26" t="s">
        <v>40</v>
      </c>
      <c r="G13" s="26">
        <v>31</v>
      </c>
      <c r="H13" s="26">
        <v>12000</v>
      </c>
      <c r="I13" s="26">
        <v>6000</v>
      </c>
      <c r="J13" s="26">
        <v>6000</v>
      </c>
      <c r="K13" s="26">
        <v>1000</v>
      </c>
      <c r="L13" s="26">
        <v>25000</v>
      </c>
      <c r="M13" s="26">
        <v>0</v>
      </c>
      <c r="N13" s="26">
        <v>0</v>
      </c>
      <c r="O13" s="26">
        <v>31</v>
      </c>
      <c r="P13" s="26">
        <v>0</v>
      </c>
      <c r="Q13" s="26">
        <v>0</v>
      </c>
      <c r="R13" s="26">
        <v>12000</v>
      </c>
      <c r="S13" s="26">
        <v>6000</v>
      </c>
      <c r="T13" s="26">
        <v>6000</v>
      </c>
      <c r="U13" s="26">
        <v>0</v>
      </c>
      <c r="V13" s="26"/>
      <c r="W13" s="26">
        <v>1000</v>
      </c>
      <c r="X13" s="26">
        <v>0</v>
      </c>
      <c r="Y13" s="26">
        <v>0</v>
      </c>
      <c r="Z13" s="28">
        <v>2000</v>
      </c>
      <c r="AA13" s="26">
        <v>0</v>
      </c>
      <c r="AB13" s="26">
        <f>SUM(R13:AA13)</f>
        <v>27000</v>
      </c>
      <c r="AC13" s="26">
        <v>2000</v>
      </c>
      <c r="AD13" s="26">
        <v>2000</v>
      </c>
      <c r="AE13" s="26">
        <f>AC13-AD13</f>
        <v>0</v>
      </c>
      <c r="AF13" s="26">
        <v>0</v>
      </c>
      <c r="AG13" s="26">
        <v>0</v>
      </c>
      <c r="AH13" s="26"/>
      <c r="AI13" s="44">
        <f t="shared" si="7"/>
        <v>0</v>
      </c>
      <c r="AJ13" s="26">
        <v>0</v>
      </c>
      <c r="AK13" s="26">
        <v>0</v>
      </c>
      <c r="AL13" s="26">
        <f>AC13*1%+AH13*1%</f>
        <v>20</v>
      </c>
      <c r="AM13" s="32">
        <f t="shared" si="4"/>
        <v>24980</v>
      </c>
      <c r="AO13" s="27" t="s">
        <v>130</v>
      </c>
      <c r="AP13" s="27" t="s">
        <v>130</v>
      </c>
    </row>
    <row r="14" spans="1:42" x14ac:dyDescent="0.35">
      <c r="A14" s="27">
        <v>16</v>
      </c>
      <c r="B14" s="26" t="s">
        <v>159</v>
      </c>
      <c r="C14" s="26" t="s">
        <v>163</v>
      </c>
      <c r="D14" s="26" t="s">
        <v>107</v>
      </c>
      <c r="E14" s="26" t="s">
        <v>54</v>
      </c>
      <c r="F14" s="26" t="s">
        <v>55</v>
      </c>
      <c r="G14" s="26">
        <v>31</v>
      </c>
      <c r="H14" s="26">
        <v>16000</v>
      </c>
      <c r="I14" s="26">
        <v>8000</v>
      </c>
      <c r="J14" s="26">
        <v>8000</v>
      </c>
      <c r="K14" s="26">
        <v>0</v>
      </c>
      <c r="L14" s="26">
        <v>32000</v>
      </c>
      <c r="M14" s="26">
        <v>1800</v>
      </c>
      <c r="N14" s="26">
        <v>0</v>
      </c>
      <c r="O14" s="26">
        <v>29</v>
      </c>
      <c r="P14" s="26">
        <v>2</v>
      </c>
      <c r="Q14" s="26">
        <v>1</v>
      </c>
      <c r="R14" s="26">
        <v>16000</v>
      </c>
      <c r="S14" s="26">
        <v>8000</v>
      </c>
      <c r="T14" s="26">
        <v>8000</v>
      </c>
      <c r="U14" s="26">
        <v>0</v>
      </c>
      <c r="V14" s="32">
        <f>'Factory Overtime working'!F5</f>
        <v>1066.6666666666667</v>
      </c>
      <c r="W14" s="26">
        <v>0</v>
      </c>
      <c r="X14" s="26">
        <v>0</v>
      </c>
      <c r="Y14" s="26">
        <v>0</v>
      </c>
      <c r="Z14" s="28">
        <v>0</v>
      </c>
      <c r="AA14" s="26">
        <v>0</v>
      </c>
      <c r="AB14" s="26">
        <f>SUM(R14:AA14)</f>
        <v>33066.666666666664</v>
      </c>
      <c r="AC14" s="26">
        <v>0</v>
      </c>
      <c r="AD14" s="26">
        <v>0</v>
      </c>
      <c r="AE14" s="26">
        <v>0</v>
      </c>
      <c r="AF14" s="26">
        <f t="shared" ref="AF14:AF15" si="13">IF(AB14-AI14&gt;=15000, 1800)</f>
        <v>1800</v>
      </c>
      <c r="AG14" s="26">
        <f t="shared" ref="AG14:AG15" si="14">ROUNDUP(IF((AB14-AI14)&gt;=21001,0,(AB14-AI14)*0.75%),0)</f>
        <v>0</v>
      </c>
      <c r="AH14" s="26"/>
      <c r="AI14" s="44">
        <f t="shared" si="7"/>
        <v>1032.258064516129</v>
      </c>
      <c r="AJ14" s="26">
        <v>0</v>
      </c>
      <c r="AK14" s="26">
        <v>0</v>
      </c>
      <c r="AL14" s="26">
        <f t="shared" si="11"/>
        <v>210</v>
      </c>
      <c r="AM14" s="32">
        <f t="shared" si="4"/>
        <v>30024.408602150535</v>
      </c>
    </row>
    <row r="15" spans="1:42" x14ac:dyDescent="0.35">
      <c r="A15" s="27">
        <v>17</v>
      </c>
      <c r="B15" s="26" t="s">
        <v>159</v>
      </c>
      <c r="C15" s="26" t="s">
        <v>163</v>
      </c>
      <c r="D15" s="26" t="s">
        <v>108</v>
      </c>
      <c r="E15" s="26" t="s">
        <v>56</v>
      </c>
      <c r="F15" s="26" t="s">
        <v>57</v>
      </c>
      <c r="G15" s="26">
        <v>31</v>
      </c>
      <c r="H15" s="26">
        <v>13500</v>
      </c>
      <c r="I15" s="26">
        <v>6750</v>
      </c>
      <c r="J15" s="26">
        <v>6750</v>
      </c>
      <c r="K15" s="26">
        <v>0</v>
      </c>
      <c r="L15" s="26">
        <v>27000</v>
      </c>
      <c r="M15" s="26">
        <v>1800</v>
      </c>
      <c r="N15" s="26">
        <v>0</v>
      </c>
      <c r="O15" s="26">
        <v>26</v>
      </c>
      <c r="P15" s="26">
        <v>5</v>
      </c>
      <c r="Q15" s="26">
        <v>4</v>
      </c>
      <c r="R15" s="26">
        <v>13500</v>
      </c>
      <c r="S15" s="26">
        <v>6750</v>
      </c>
      <c r="T15" s="26">
        <v>6750</v>
      </c>
      <c r="U15" s="26">
        <v>0</v>
      </c>
      <c r="V15" s="32">
        <f>'Factory Overtime working'!F6</f>
        <v>0</v>
      </c>
      <c r="W15" s="26">
        <v>0</v>
      </c>
      <c r="X15" s="26">
        <v>0</v>
      </c>
      <c r="Y15" s="26">
        <v>0</v>
      </c>
      <c r="Z15" s="28">
        <v>0</v>
      </c>
      <c r="AA15" s="26">
        <v>0</v>
      </c>
      <c r="AB15" s="32">
        <f>SUM(R15:AA15)</f>
        <v>27000</v>
      </c>
      <c r="AC15" s="26">
        <v>0</v>
      </c>
      <c r="AD15" s="26">
        <v>0</v>
      </c>
      <c r="AE15" s="26">
        <v>0</v>
      </c>
      <c r="AF15" s="26">
        <f t="shared" si="13"/>
        <v>1800</v>
      </c>
      <c r="AG15" s="26">
        <f t="shared" si="14"/>
        <v>0</v>
      </c>
      <c r="AH15" s="26"/>
      <c r="AI15" s="44">
        <f t="shared" si="7"/>
        <v>3483.8709677419356</v>
      </c>
      <c r="AJ15" s="26">
        <v>0</v>
      </c>
      <c r="AK15" s="26">
        <v>0</v>
      </c>
      <c r="AL15" s="26">
        <f t="shared" si="11"/>
        <v>210</v>
      </c>
      <c r="AM15" s="32">
        <f t="shared" si="4"/>
        <v>21506.129032258064</v>
      </c>
    </row>
    <row r="16" spans="1:42" x14ac:dyDescent="0.35">
      <c r="A16" s="27">
        <v>18</v>
      </c>
      <c r="B16" s="26" t="s">
        <v>159</v>
      </c>
      <c r="C16" s="26" t="s">
        <v>163</v>
      </c>
      <c r="D16" s="26" t="s">
        <v>109</v>
      </c>
      <c r="E16" s="26" t="s">
        <v>58</v>
      </c>
      <c r="F16" s="26" t="s">
        <v>59</v>
      </c>
      <c r="G16" s="26">
        <v>31</v>
      </c>
      <c r="H16" s="26">
        <v>15500</v>
      </c>
      <c r="I16" s="26">
        <v>7750</v>
      </c>
      <c r="J16" s="26">
        <v>7750</v>
      </c>
      <c r="K16" s="26">
        <v>0</v>
      </c>
      <c r="L16" s="26">
        <v>31000</v>
      </c>
      <c r="M16" s="26">
        <v>1800</v>
      </c>
      <c r="N16" s="26">
        <v>0</v>
      </c>
      <c r="O16" s="26">
        <v>29</v>
      </c>
      <c r="P16" s="26">
        <v>2</v>
      </c>
      <c r="Q16" s="26">
        <v>1</v>
      </c>
      <c r="R16" s="26">
        <v>15500</v>
      </c>
      <c r="S16" s="26">
        <v>7750</v>
      </c>
      <c r="T16" s="26">
        <v>7750</v>
      </c>
      <c r="U16" s="26">
        <v>0</v>
      </c>
      <c r="V16" s="32">
        <f>'Factory Overtime working'!F7</f>
        <v>3100</v>
      </c>
      <c r="W16" s="26">
        <v>0</v>
      </c>
      <c r="X16" s="26">
        <v>0</v>
      </c>
      <c r="Y16" s="26">
        <v>0</v>
      </c>
      <c r="Z16" s="28" t="s">
        <v>130</v>
      </c>
      <c r="AA16" s="26">
        <v>0</v>
      </c>
      <c r="AB16" s="32">
        <f>SUM(R16:AA16)</f>
        <v>34100</v>
      </c>
      <c r="AC16" s="26">
        <v>0</v>
      </c>
      <c r="AD16" s="26">
        <v>0</v>
      </c>
      <c r="AE16" s="26">
        <v>0</v>
      </c>
      <c r="AF16" s="26">
        <f t="shared" ref="AF16" si="15">IF(AB16-AI16&gt;=15000, 1800)</f>
        <v>1800</v>
      </c>
      <c r="AG16" s="26">
        <f t="shared" ref="AG16" si="16">ROUNDUP(IF((AB16-AI16)&gt;=21001,0,(AB16-AI16)*0.75%),0)</f>
        <v>0</v>
      </c>
      <c r="AH16" s="26"/>
      <c r="AI16" s="44">
        <f t="shared" si="7"/>
        <v>1000</v>
      </c>
      <c r="AJ16" s="26">
        <v>0</v>
      </c>
      <c r="AK16" s="26">
        <v>0</v>
      </c>
      <c r="AL16" s="26">
        <f t="shared" si="11"/>
        <v>210</v>
      </c>
      <c r="AM16" s="32">
        <f t="shared" si="4"/>
        <v>31090</v>
      </c>
    </row>
    <row r="17" spans="1:42" x14ac:dyDescent="0.35">
      <c r="A17" s="27">
        <v>19</v>
      </c>
      <c r="B17" s="26" t="s">
        <v>159</v>
      </c>
      <c r="C17" s="26" t="s">
        <v>163</v>
      </c>
      <c r="D17" s="26" t="s">
        <v>110</v>
      </c>
      <c r="E17" s="26" t="s">
        <v>60</v>
      </c>
      <c r="F17" s="26" t="s">
        <v>44</v>
      </c>
      <c r="G17" s="26">
        <v>31</v>
      </c>
      <c r="H17" s="26">
        <v>13000</v>
      </c>
      <c r="I17" s="26">
        <v>6500</v>
      </c>
      <c r="J17" s="26">
        <v>6500</v>
      </c>
      <c r="K17" s="26">
        <v>0</v>
      </c>
      <c r="L17" s="26">
        <v>26000</v>
      </c>
      <c r="M17" s="26">
        <v>1800</v>
      </c>
      <c r="N17" s="26">
        <v>0</v>
      </c>
      <c r="O17" s="26">
        <v>30</v>
      </c>
      <c r="P17" s="26">
        <v>1</v>
      </c>
      <c r="Q17" s="26">
        <v>0</v>
      </c>
      <c r="R17" s="26">
        <v>13000</v>
      </c>
      <c r="S17" s="26">
        <v>6500</v>
      </c>
      <c r="T17" s="26">
        <v>6500</v>
      </c>
      <c r="U17" s="26">
        <v>0</v>
      </c>
      <c r="V17" s="32">
        <f>'Factory Overtime working'!F8</f>
        <v>3791.6666666666665</v>
      </c>
      <c r="W17" s="26">
        <v>0</v>
      </c>
      <c r="X17" s="26">
        <v>0</v>
      </c>
      <c r="Y17" s="26">
        <v>0</v>
      </c>
      <c r="Z17" s="28"/>
      <c r="AA17" s="26">
        <v>0</v>
      </c>
      <c r="AB17" s="32">
        <f t="shared" ref="AB17:AB22" si="17">SUM(R17:AA17)</f>
        <v>29791.666666666668</v>
      </c>
      <c r="AC17" s="26">
        <v>0</v>
      </c>
      <c r="AD17" s="26">
        <v>0</v>
      </c>
      <c r="AE17" s="26">
        <v>0</v>
      </c>
      <c r="AF17" s="26">
        <v>1800</v>
      </c>
      <c r="AG17" s="26">
        <v>0</v>
      </c>
      <c r="AH17" s="26"/>
      <c r="AI17" s="44">
        <f t="shared" si="7"/>
        <v>0</v>
      </c>
      <c r="AJ17" s="26">
        <v>0</v>
      </c>
      <c r="AK17" s="26">
        <v>0</v>
      </c>
      <c r="AL17" s="26">
        <f t="shared" si="11"/>
        <v>210</v>
      </c>
      <c r="AM17" s="32">
        <f t="shared" si="4"/>
        <v>27781.666666666668</v>
      </c>
    </row>
    <row r="18" spans="1:42" x14ac:dyDescent="0.35">
      <c r="A18" s="27">
        <v>20</v>
      </c>
      <c r="B18" s="26" t="s">
        <v>159</v>
      </c>
      <c r="C18" s="26" t="s">
        <v>163</v>
      </c>
      <c r="D18" s="26" t="s">
        <v>111</v>
      </c>
      <c r="E18" s="26" t="s">
        <v>61</v>
      </c>
      <c r="F18" s="26" t="s">
        <v>44</v>
      </c>
      <c r="G18" s="26">
        <v>31</v>
      </c>
      <c r="H18" s="26">
        <v>12500</v>
      </c>
      <c r="I18" s="26">
        <v>6250</v>
      </c>
      <c r="J18" s="26">
        <v>6250</v>
      </c>
      <c r="K18" s="26">
        <v>0</v>
      </c>
      <c r="L18" s="26">
        <v>25000</v>
      </c>
      <c r="M18" s="26">
        <v>1800</v>
      </c>
      <c r="N18" s="26">
        <v>0</v>
      </c>
      <c r="O18" s="26">
        <v>29</v>
      </c>
      <c r="P18" s="26">
        <v>2</v>
      </c>
      <c r="Q18" s="26">
        <v>1</v>
      </c>
      <c r="R18" s="26">
        <v>12500</v>
      </c>
      <c r="S18" s="26">
        <v>6250</v>
      </c>
      <c r="T18" s="26">
        <v>6250</v>
      </c>
      <c r="U18" s="26">
        <v>0</v>
      </c>
      <c r="V18" s="32">
        <f>'Factory Overtime working'!F9</f>
        <v>3645.8333333333335</v>
      </c>
      <c r="W18" s="26">
        <v>0</v>
      </c>
      <c r="X18" s="26">
        <v>0</v>
      </c>
      <c r="Y18" s="26">
        <v>0</v>
      </c>
      <c r="Z18" s="28"/>
      <c r="AA18" s="26">
        <v>0</v>
      </c>
      <c r="AB18" s="32">
        <f t="shared" si="17"/>
        <v>28645.833333333332</v>
      </c>
      <c r="AC18" s="26">
        <v>0</v>
      </c>
      <c r="AD18" s="26">
        <v>0</v>
      </c>
      <c r="AE18" s="26">
        <v>0</v>
      </c>
      <c r="AF18" s="26">
        <v>1800</v>
      </c>
      <c r="AG18" s="26">
        <v>0</v>
      </c>
      <c r="AH18" s="26"/>
      <c r="AI18" s="44">
        <f t="shared" si="7"/>
        <v>806.45161290322585</v>
      </c>
      <c r="AJ18" s="26">
        <v>0</v>
      </c>
      <c r="AK18" s="26">
        <v>0</v>
      </c>
      <c r="AL18" s="26">
        <f t="shared" si="11"/>
        <v>210</v>
      </c>
      <c r="AM18" s="32">
        <f t="shared" si="4"/>
        <v>25829.381720430105</v>
      </c>
    </row>
    <row r="19" spans="1:42" x14ac:dyDescent="0.35">
      <c r="A19" s="27">
        <v>21</v>
      </c>
      <c r="B19" s="26" t="s">
        <v>159</v>
      </c>
      <c r="C19" s="26" t="s">
        <v>163</v>
      </c>
      <c r="D19" s="26" t="s">
        <v>112</v>
      </c>
      <c r="E19" s="26" t="s">
        <v>62</v>
      </c>
      <c r="F19" s="26" t="s">
        <v>63</v>
      </c>
      <c r="G19" s="26">
        <v>31</v>
      </c>
      <c r="H19" s="26">
        <v>15000</v>
      </c>
      <c r="I19" s="26">
        <v>7500</v>
      </c>
      <c r="J19" s="26">
        <v>7500</v>
      </c>
      <c r="K19" s="26">
        <v>0</v>
      </c>
      <c r="L19" s="26">
        <v>30000</v>
      </c>
      <c r="M19" s="26">
        <v>1800</v>
      </c>
      <c r="N19" s="26">
        <v>0</v>
      </c>
      <c r="O19" s="26">
        <v>22.5</v>
      </c>
      <c r="P19" s="26">
        <v>8.5</v>
      </c>
      <c r="Q19" s="26">
        <v>8.5</v>
      </c>
      <c r="R19" s="26">
        <v>15000</v>
      </c>
      <c r="S19" s="26">
        <v>7500</v>
      </c>
      <c r="T19" s="26">
        <v>7500</v>
      </c>
      <c r="U19" s="26">
        <v>0</v>
      </c>
      <c r="V19" s="32"/>
      <c r="W19" s="26">
        <v>0</v>
      </c>
      <c r="X19" s="26">
        <v>0</v>
      </c>
      <c r="Y19" s="26">
        <v>0</v>
      </c>
      <c r="Z19" s="28" t="s">
        <v>130</v>
      </c>
      <c r="AA19" s="26">
        <v>0</v>
      </c>
      <c r="AB19" s="26">
        <f>SUM(R19:AA19)</f>
        <v>30000</v>
      </c>
      <c r="AC19" s="26">
        <v>20000</v>
      </c>
      <c r="AD19" s="26">
        <v>10000</v>
      </c>
      <c r="AE19" s="26">
        <v>10000</v>
      </c>
      <c r="AF19" s="26">
        <f t="shared" ref="AF19" si="18">IF(AB19-AI19&gt;=15000, 1800)</f>
        <v>1800</v>
      </c>
      <c r="AG19" s="26">
        <f t="shared" ref="AG19" si="19">ROUNDUP(IF((AB19-AI19)&gt;=21001,0,(AB19-AI19)*0.75%),0)</f>
        <v>0</v>
      </c>
      <c r="AH19" s="26"/>
      <c r="AI19" s="44">
        <f t="shared" si="7"/>
        <v>8225.8064516129034</v>
      </c>
      <c r="AJ19" s="26">
        <v>0</v>
      </c>
      <c r="AK19" s="26">
        <v>0</v>
      </c>
      <c r="AL19" s="26">
        <f>AC19*1%+AH19*1%+210</f>
        <v>410</v>
      </c>
      <c r="AM19" s="32">
        <f t="shared" si="4"/>
        <v>9564.1935483870966</v>
      </c>
      <c r="AO19" s="27" t="s">
        <v>183</v>
      </c>
    </row>
    <row r="20" spans="1:42" x14ac:dyDescent="0.35">
      <c r="A20" s="27">
        <v>22</v>
      </c>
      <c r="B20" s="26" t="s">
        <v>159</v>
      </c>
      <c r="C20" s="26" t="s">
        <v>163</v>
      </c>
      <c r="D20" s="26" t="s">
        <v>113</v>
      </c>
      <c r="E20" s="26" t="s">
        <v>64</v>
      </c>
      <c r="F20" s="26" t="s">
        <v>65</v>
      </c>
      <c r="G20" s="26">
        <v>31</v>
      </c>
      <c r="H20" s="26">
        <v>15500</v>
      </c>
      <c r="I20" s="26">
        <v>7750</v>
      </c>
      <c r="J20" s="26">
        <v>7750</v>
      </c>
      <c r="K20" s="26">
        <v>0</v>
      </c>
      <c r="L20" s="26">
        <v>31000</v>
      </c>
      <c r="M20" s="26">
        <v>0</v>
      </c>
      <c r="N20" s="26">
        <v>0</v>
      </c>
      <c r="O20" s="26">
        <v>26</v>
      </c>
      <c r="P20" s="26">
        <v>4</v>
      </c>
      <c r="Q20" s="26">
        <v>3</v>
      </c>
      <c r="R20" s="26">
        <v>15500</v>
      </c>
      <c r="S20" s="26">
        <v>7750</v>
      </c>
      <c r="T20" s="26">
        <v>7750</v>
      </c>
      <c r="U20" s="26">
        <v>0</v>
      </c>
      <c r="V20" s="27">
        <f>'Factory Overtime working'!F11</f>
        <v>1033.3333333333333</v>
      </c>
      <c r="W20" s="26">
        <v>0</v>
      </c>
      <c r="X20" s="26">
        <v>0</v>
      </c>
      <c r="Y20" s="26">
        <v>0</v>
      </c>
      <c r="Z20" s="28">
        <v>0</v>
      </c>
      <c r="AA20" s="26">
        <v>0</v>
      </c>
      <c r="AB20" s="26">
        <f t="shared" si="17"/>
        <v>32033.333333333332</v>
      </c>
      <c r="AC20" s="26">
        <v>0</v>
      </c>
      <c r="AD20" s="26">
        <v>0</v>
      </c>
      <c r="AE20" s="26">
        <v>0</v>
      </c>
      <c r="AF20" s="26">
        <v>1800</v>
      </c>
      <c r="AG20" s="26">
        <v>0</v>
      </c>
      <c r="AH20" s="26"/>
      <c r="AI20" s="44">
        <f t="shared" si="7"/>
        <v>3000</v>
      </c>
      <c r="AJ20" s="26">
        <v>0</v>
      </c>
      <c r="AK20" s="26">
        <v>0</v>
      </c>
      <c r="AL20" s="26">
        <v>210</v>
      </c>
      <c r="AM20" s="32">
        <f t="shared" si="4"/>
        <v>27023.333333333332</v>
      </c>
    </row>
    <row r="21" spans="1:42" x14ac:dyDescent="0.35">
      <c r="A21" s="27">
        <v>23</v>
      </c>
      <c r="B21" s="26" t="s">
        <v>160</v>
      </c>
      <c r="C21" s="26" t="s">
        <v>164</v>
      </c>
      <c r="D21" s="26" t="s">
        <v>114</v>
      </c>
      <c r="E21" s="26" t="s">
        <v>66</v>
      </c>
      <c r="F21" s="26" t="s">
        <v>67</v>
      </c>
      <c r="G21" s="26">
        <v>31</v>
      </c>
      <c r="H21" s="26">
        <v>9000</v>
      </c>
      <c r="I21" s="26">
        <v>4500</v>
      </c>
      <c r="J21" s="26">
        <v>4500</v>
      </c>
      <c r="K21" s="26">
        <v>0</v>
      </c>
      <c r="L21" s="26">
        <v>18000</v>
      </c>
      <c r="M21" s="26">
        <v>1800</v>
      </c>
      <c r="N21" s="26">
        <v>0</v>
      </c>
      <c r="O21" s="26">
        <v>27</v>
      </c>
      <c r="P21" s="26">
        <v>4</v>
      </c>
      <c r="Q21" s="26">
        <v>0</v>
      </c>
      <c r="R21" s="26">
        <v>9000</v>
      </c>
      <c r="S21" s="26">
        <v>4500</v>
      </c>
      <c r="T21" s="26">
        <v>4500</v>
      </c>
      <c r="U21" s="26">
        <v>0</v>
      </c>
      <c r="V21" s="32"/>
      <c r="W21" s="26">
        <v>0</v>
      </c>
      <c r="X21" s="26">
        <v>0</v>
      </c>
      <c r="Y21" s="26">
        <v>0</v>
      </c>
      <c r="Z21" s="28">
        <v>0</v>
      </c>
      <c r="AA21" s="26">
        <v>0</v>
      </c>
      <c r="AB21" s="26">
        <f>SUM(R21:AA21)</f>
        <v>18000</v>
      </c>
      <c r="AC21" s="26">
        <v>0</v>
      </c>
      <c r="AD21" s="26">
        <v>0</v>
      </c>
      <c r="AE21" s="26">
        <v>0</v>
      </c>
      <c r="AF21" s="26">
        <v>1800</v>
      </c>
      <c r="AG21" s="26">
        <f>ROUNDUP(IF((AB21-AI21)&gt;=21001,0,(AB21-AI21)*0.75%),0)</f>
        <v>135</v>
      </c>
      <c r="AH21" s="26"/>
      <c r="AI21" s="44">
        <f t="shared" si="7"/>
        <v>0</v>
      </c>
      <c r="AJ21" s="26">
        <v>0</v>
      </c>
      <c r="AK21" s="26">
        <v>0</v>
      </c>
      <c r="AL21" s="26">
        <f t="shared" ref="AL21" si="20">AC21*1%+AH21*1%+210</f>
        <v>210</v>
      </c>
      <c r="AM21" s="32">
        <f t="shared" si="4"/>
        <v>15855</v>
      </c>
      <c r="AO21" s="27" t="s">
        <v>186</v>
      </c>
    </row>
    <row r="22" spans="1:42" x14ac:dyDescent="0.35">
      <c r="A22" s="27">
        <v>24</v>
      </c>
      <c r="B22" s="26" t="s">
        <v>159</v>
      </c>
      <c r="C22" s="26" t="s">
        <v>163</v>
      </c>
      <c r="D22" s="26" t="s">
        <v>115</v>
      </c>
      <c r="E22" s="26" t="s">
        <v>68</v>
      </c>
      <c r="F22" s="26" t="s">
        <v>69</v>
      </c>
      <c r="G22" s="26">
        <v>31</v>
      </c>
      <c r="H22" s="26">
        <v>7500</v>
      </c>
      <c r="I22" s="26">
        <v>3750</v>
      </c>
      <c r="J22" s="26">
        <v>3750</v>
      </c>
      <c r="K22" s="26">
        <v>0</v>
      </c>
      <c r="L22" s="26">
        <v>15000</v>
      </c>
      <c r="M22" s="26">
        <v>0</v>
      </c>
      <c r="N22" s="26">
        <v>0</v>
      </c>
      <c r="O22" s="26">
        <v>30</v>
      </c>
      <c r="P22" s="26">
        <v>1</v>
      </c>
      <c r="Q22" s="26">
        <v>0</v>
      </c>
      <c r="R22" s="26">
        <v>7500</v>
      </c>
      <c r="S22" s="26">
        <v>3750</v>
      </c>
      <c r="T22" s="26">
        <v>3750</v>
      </c>
      <c r="U22" s="26">
        <v>0</v>
      </c>
      <c r="V22" s="32">
        <f>'Factory Overtime working'!F13</f>
        <v>2187.5</v>
      </c>
      <c r="W22" s="26">
        <v>0</v>
      </c>
      <c r="X22" s="26">
        <v>0</v>
      </c>
      <c r="Y22" s="26">
        <v>0</v>
      </c>
      <c r="Z22" s="28"/>
      <c r="AA22" s="26">
        <v>0</v>
      </c>
      <c r="AB22" s="32">
        <f t="shared" si="17"/>
        <v>17187.5</v>
      </c>
      <c r="AC22" s="26">
        <v>0</v>
      </c>
      <c r="AD22" s="26">
        <v>0</v>
      </c>
      <c r="AE22" s="26">
        <v>0</v>
      </c>
      <c r="AF22" s="26">
        <v>1800</v>
      </c>
      <c r="AG22" s="26">
        <v>0</v>
      </c>
      <c r="AH22" s="26"/>
      <c r="AI22" s="44">
        <f t="shared" si="7"/>
        <v>0</v>
      </c>
      <c r="AJ22" s="26">
        <v>0</v>
      </c>
      <c r="AK22" s="26">
        <v>0</v>
      </c>
      <c r="AL22" s="26">
        <v>210</v>
      </c>
      <c r="AM22" s="32">
        <f t="shared" si="4"/>
        <v>15177.5</v>
      </c>
      <c r="AO22" s="27" t="s">
        <v>130</v>
      </c>
    </row>
    <row r="23" spans="1:42" x14ac:dyDescent="0.35">
      <c r="A23" s="27">
        <v>25</v>
      </c>
      <c r="B23" s="26" t="s">
        <v>160</v>
      </c>
      <c r="C23" s="26" t="s">
        <v>164</v>
      </c>
      <c r="D23" s="26" t="s">
        <v>116</v>
      </c>
      <c r="E23" s="26" t="s">
        <v>70</v>
      </c>
      <c r="F23" s="26" t="s">
        <v>42</v>
      </c>
      <c r="G23" s="26">
        <v>31</v>
      </c>
      <c r="H23" s="26">
        <v>21500</v>
      </c>
      <c r="I23" s="26">
        <v>10750</v>
      </c>
      <c r="J23" s="26">
        <v>10750</v>
      </c>
      <c r="K23" s="26">
        <v>0</v>
      </c>
      <c r="L23" s="26">
        <v>43000</v>
      </c>
      <c r="M23" s="26">
        <v>1800</v>
      </c>
      <c r="N23" s="26">
        <v>0</v>
      </c>
      <c r="O23" s="26">
        <v>31</v>
      </c>
      <c r="P23" s="26">
        <v>0</v>
      </c>
      <c r="Q23" s="26">
        <v>0</v>
      </c>
      <c r="R23" s="26">
        <v>21500</v>
      </c>
      <c r="S23" s="26">
        <v>10750</v>
      </c>
      <c r="T23" s="26">
        <v>10750</v>
      </c>
      <c r="U23" s="26">
        <v>0</v>
      </c>
      <c r="V23" s="32"/>
      <c r="W23" s="26">
        <v>0</v>
      </c>
      <c r="X23" s="26">
        <v>0</v>
      </c>
      <c r="Y23" s="26">
        <v>0</v>
      </c>
      <c r="Z23" s="28" t="s">
        <v>130</v>
      </c>
      <c r="AA23" s="26">
        <v>0</v>
      </c>
      <c r="AB23" s="26">
        <f t="shared" ref="AB23:AB27" si="21">SUM(R23:AA23)</f>
        <v>43000</v>
      </c>
      <c r="AC23" s="26">
        <v>0</v>
      </c>
      <c r="AD23" s="26"/>
      <c r="AE23" s="26">
        <f>AC23-AD23</f>
        <v>0</v>
      </c>
      <c r="AF23" s="26">
        <f t="shared" ref="AF23:AF25" si="22">IF(AB23-AI23&gt;=15000, 1800)</f>
        <v>1800</v>
      </c>
      <c r="AG23" s="26">
        <f>ROUNDUP(IF((AB23-AI23)&gt;=21001,0,(AB23-AI23)*0.75%),0)</f>
        <v>0</v>
      </c>
      <c r="AH23" s="26"/>
      <c r="AI23" s="26">
        <v>10000</v>
      </c>
      <c r="AJ23" s="26">
        <v>0</v>
      </c>
      <c r="AK23" s="26">
        <v>0</v>
      </c>
      <c r="AL23" s="26">
        <f>AC23*1%+210</f>
        <v>210</v>
      </c>
      <c r="AM23" s="32">
        <f t="shared" si="4"/>
        <v>30990</v>
      </c>
      <c r="AN23" s="41" t="s">
        <v>140</v>
      </c>
      <c r="AO23" s="27" t="s">
        <v>185</v>
      </c>
    </row>
    <row r="24" spans="1:42" x14ac:dyDescent="0.35">
      <c r="A24" s="27">
        <v>26</v>
      </c>
      <c r="B24" s="26" t="s">
        <v>160</v>
      </c>
      <c r="C24" s="26" t="s">
        <v>164</v>
      </c>
      <c r="D24" s="26" t="s">
        <v>117</v>
      </c>
      <c r="E24" s="26" t="s">
        <v>71</v>
      </c>
      <c r="F24" s="26" t="s">
        <v>72</v>
      </c>
      <c r="G24" s="26">
        <v>31</v>
      </c>
      <c r="H24" s="26">
        <v>11250</v>
      </c>
      <c r="I24" s="26">
        <v>5500</v>
      </c>
      <c r="J24" s="26">
        <v>3250</v>
      </c>
      <c r="K24" s="26">
        <v>0</v>
      </c>
      <c r="L24" s="26">
        <v>20000</v>
      </c>
      <c r="M24" s="26">
        <v>1800</v>
      </c>
      <c r="N24" s="26">
        <v>0</v>
      </c>
      <c r="O24" s="26">
        <v>28</v>
      </c>
      <c r="P24" s="26">
        <v>3</v>
      </c>
      <c r="Q24" s="26">
        <v>0</v>
      </c>
      <c r="R24" s="26">
        <v>11250</v>
      </c>
      <c r="S24" s="26">
        <v>5500</v>
      </c>
      <c r="T24" s="26">
        <v>3250</v>
      </c>
      <c r="U24" s="26">
        <v>0</v>
      </c>
      <c r="V24" s="32"/>
      <c r="W24" s="26">
        <v>0</v>
      </c>
      <c r="X24" s="26">
        <v>0</v>
      </c>
      <c r="Y24" s="26">
        <v>0</v>
      </c>
      <c r="Z24" s="28">
        <v>0</v>
      </c>
      <c r="AA24" s="26">
        <v>0</v>
      </c>
      <c r="AB24" s="26">
        <f t="shared" si="21"/>
        <v>20000</v>
      </c>
      <c r="AC24" s="26">
        <v>0</v>
      </c>
      <c r="AD24" s="26">
        <v>0</v>
      </c>
      <c r="AE24" s="26">
        <v>0</v>
      </c>
      <c r="AF24" s="26">
        <f t="shared" si="22"/>
        <v>1800</v>
      </c>
      <c r="AG24" s="26">
        <f>ROUNDUP(IF((AB24-AI24)&gt;=21001,0,(AB24-AI24)*0.75%),0)</f>
        <v>150</v>
      </c>
      <c r="AH24" s="26"/>
      <c r="AI24" s="44">
        <f t="shared" si="7"/>
        <v>0</v>
      </c>
      <c r="AJ24" s="26">
        <v>0</v>
      </c>
      <c r="AK24" s="26">
        <v>0</v>
      </c>
      <c r="AL24" s="32">
        <f>AC24*1%+210</f>
        <v>210</v>
      </c>
      <c r="AM24" s="32">
        <f t="shared" si="4"/>
        <v>17840</v>
      </c>
      <c r="AN24" s="27">
        <f>17840-17527</f>
        <v>313</v>
      </c>
      <c r="AO24" s="27" t="s">
        <v>169</v>
      </c>
      <c r="AP24" s="27" t="s">
        <v>155</v>
      </c>
    </row>
    <row r="25" spans="1:42" x14ac:dyDescent="0.35">
      <c r="A25" s="27">
        <v>28</v>
      </c>
      <c r="B25" s="26" t="s">
        <v>160</v>
      </c>
      <c r="C25" s="26" t="s">
        <v>164</v>
      </c>
      <c r="D25" s="26" t="s">
        <v>118</v>
      </c>
      <c r="E25" s="26" t="s">
        <v>73</v>
      </c>
      <c r="F25" s="26" t="s">
        <v>72</v>
      </c>
      <c r="G25" s="26">
        <v>31</v>
      </c>
      <c r="H25" s="26">
        <v>10750</v>
      </c>
      <c r="I25" s="26">
        <v>5500</v>
      </c>
      <c r="J25" s="26">
        <v>5250</v>
      </c>
      <c r="K25" s="26">
        <v>0</v>
      </c>
      <c r="L25" s="26">
        <v>21500</v>
      </c>
      <c r="M25" s="26">
        <v>1800</v>
      </c>
      <c r="N25" s="26">
        <v>0</v>
      </c>
      <c r="O25" s="26">
        <v>27.5</v>
      </c>
      <c r="P25" s="26">
        <v>3.5</v>
      </c>
      <c r="Q25" s="26">
        <v>3.5</v>
      </c>
      <c r="R25" s="26">
        <v>10750</v>
      </c>
      <c r="S25" s="26">
        <v>5500</v>
      </c>
      <c r="T25" s="26">
        <v>5250</v>
      </c>
      <c r="U25" s="26">
        <v>0</v>
      </c>
      <c r="V25" s="32"/>
      <c r="W25" s="26">
        <v>0</v>
      </c>
      <c r="X25" s="26">
        <v>0</v>
      </c>
      <c r="Y25" s="26">
        <v>0</v>
      </c>
      <c r="Z25" s="28">
        <v>0</v>
      </c>
      <c r="AA25" s="26">
        <v>0</v>
      </c>
      <c r="AB25" s="26">
        <f t="shared" si="21"/>
        <v>21500</v>
      </c>
      <c r="AC25" s="26">
        <v>0</v>
      </c>
      <c r="AD25" s="26">
        <v>0</v>
      </c>
      <c r="AE25" s="26">
        <v>0</v>
      </c>
      <c r="AF25" s="26">
        <f t="shared" si="22"/>
        <v>1800</v>
      </c>
      <c r="AG25" s="26">
        <v>0</v>
      </c>
      <c r="AH25" s="26"/>
      <c r="AI25" s="44">
        <f t="shared" si="7"/>
        <v>2427.4193548387093</v>
      </c>
      <c r="AJ25" s="26">
        <v>0</v>
      </c>
      <c r="AK25" s="26">
        <v>0</v>
      </c>
      <c r="AL25" s="26">
        <f t="shared" ref="AL25" si="23">AC25*1%+AH25*1%+210</f>
        <v>210</v>
      </c>
      <c r="AM25" s="32">
        <f t="shared" si="4"/>
        <v>17062.580645161292</v>
      </c>
      <c r="AO25" s="27" t="s">
        <v>183</v>
      </c>
    </row>
    <row r="26" spans="1:42" x14ac:dyDescent="0.35">
      <c r="A26" s="27">
        <v>29</v>
      </c>
      <c r="B26" s="29" t="s">
        <v>160</v>
      </c>
      <c r="C26" s="29" t="s">
        <v>165</v>
      </c>
      <c r="D26" s="29" t="s">
        <v>119</v>
      </c>
      <c r="E26" s="29" t="s">
        <v>74</v>
      </c>
      <c r="F26" s="29" t="s">
        <v>75</v>
      </c>
      <c r="G26" s="26">
        <v>31</v>
      </c>
      <c r="H26" s="29">
        <v>12500</v>
      </c>
      <c r="I26" s="29">
        <v>6250</v>
      </c>
      <c r="J26" s="29">
        <v>6250</v>
      </c>
      <c r="K26" s="29">
        <v>0</v>
      </c>
      <c r="L26" s="29">
        <v>25000</v>
      </c>
      <c r="M26" s="29">
        <v>0</v>
      </c>
      <c r="N26" s="29">
        <v>0</v>
      </c>
      <c r="O26" s="29">
        <v>0</v>
      </c>
      <c r="P26" s="29">
        <v>31</v>
      </c>
      <c r="Q26" s="29">
        <v>31</v>
      </c>
      <c r="R26" s="29">
        <v>12500</v>
      </c>
      <c r="S26" s="29">
        <v>6250</v>
      </c>
      <c r="T26" s="29">
        <v>6250</v>
      </c>
      <c r="U26" s="29">
        <v>0</v>
      </c>
      <c r="V26" s="35"/>
      <c r="W26" s="29"/>
      <c r="X26" s="29">
        <v>0</v>
      </c>
      <c r="Y26" s="29">
        <v>0</v>
      </c>
      <c r="Z26" s="36">
        <v>0</v>
      </c>
      <c r="AA26" s="29">
        <v>0</v>
      </c>
      <c r="AB26" s="29">
        <f t="shared" si="21"/>
        <v>25000</v>
      </c>
      <c r="AC26" s="29">
        <v>0</v>
      </c>
      <c r="AD26" s="29">
        <v>0</v>
      </c>
      <c r="AE26" s="29">
        <v>0</v>
      </c>
      <c r="AF26" s="29">
        <v>0</v>
      </c>
      <c r="AG26" s="29">
        <v>0</v>
      </c>
      <c r="AH26" s="29"/>
      <c r="AI26" s="44">
        <f t="shared" si="7"/>
        <v>25000</v>
      </c>
      <c r="AJ26" s="29">
        <v>0</v>
      </c>
      <c r="AK26" s="29">
        <v>0</v>
      </c>
      <c r="AL26" s="29">
        <v>0</v>
      </c>
      <c r="AM26" s="35">
        <f>7500</f>
        <v>7500</v>
      </c>
      <c r="AO26" s="27" t="s">
        <v>184</v>
      </c>
    </row>
    <row r="27" spans="1:42" x14ac:dyDescent="0.35">
      <c r="A27" s="26">
        <v>30</v>
      </c>
      <c r="B27" s="26" t="s">
        <v>160</v>
      </c>
      <c r="C27" s="26" t="s">
        <v>165</v>
      </c>
      <c r="D27" s="26" t="s">
        <v>120</v>
      </c>
      <c r="E27" s="26" t="s">
        <v>76</v>
      </c>
      <c r="F27" s="26" t="s">
        <v>77</v>
      </c>
      <c r="G27" s="26">
        <v>31</v>
      </c>
      <c r="H27" s="26">
        <v>12000</v>
      </c>
      <c r="I27" s="26">
        <v>6000</v>
      </c>
      <c r="J27" s="26">
        <v>4000</v>
      </c>
      <c r="K27" s="26">
        <v>2000</v>
      </c>
      <c r="L27" s="26">
        <v>24000</v>
      </c>
      <c r="M27" s="26">
        <v>0</v>
      </c>
      <c r="N27" s="26">
        <v>0</v>
      </c>
      <c r="O27" s="26">
        <v>29</v>
      </c>
      <c r="P27" s="26">
        <v>2</v>
      </c>
      <c r="Q27" s="26">
        <v>0</v>
      </c>
      <c r="R27" s="26">
        <v>12000</v>
      </c>
      <c r="S27" s="26">
        <v>6000</v>
      </c>
      <c r="T27" s="26">
        <v>4000</v>
      </c>
      <c r="U27" s="26">
        <v>0</v>
      </c>
      <c r="V27" s="32"/>
      <c r="W27" s="26">
        <v>2000</v>
      </c>
      <c r="X27" s="26">
        <v>0</v>
      </c>
      <c r="Y27" s="26">
        <v>0</v>
      </c>
      <c r="Z27" s="28">
        <v>0</v>
      </c>
      <c r="AA27" s="26">
        <v>0</v>
      </c>
      <c r="AB27" s="26">
        <f t="shared" si="21"/>
        <v>24000</v>
      </c>
      <c r="AC27" s="26">
        <v>8000</v>
      </c>
      <c r="AD27" s="26">
        <v>2000</v>
      </c>
      <c r="AE27" s="26">
        <f>AC27-AD27</f>
        <v>6000</v>
      </c>
      <c r="AF27" s="26">
        <v>0</v>
      </c>
      <c r="AG27" s="26">
        <v>0</v>
      </c>
      <c r="AH27" s="26">
        <v>1300</v>
      </c>
      <c r="AI27" s="44">
        <f t="shared" si="7"/>
        <v>0</v>
      </c>
      <c r="AJ27" s="26">
        <v>0</v>
      </c>
      <c r="AK27" s="26">
        <v>0</v>
      </c>
      <c r="AL27" s="26">
        <f>AC27*1%+AH27*1%</f>
        <v>93</v>
      </c>
      <c r="AM27" s="32">
        <f t="shared" si="4"/>
        <v>20607</v>
      </c>
    </row>
    <row r="28" spans="1:42" x14ac:dyDescent="0.35">
      <c r="A28" s="26">
        <v>31</v>
      </c>
      <c r="B28" s="26" t="s">
        <v>160</v>
      </c>
      <c r="C28" s="26" t="s">
        <v>175</v>
      </c>
      <c r="D28" s="26"/>
      <c r="E28" s="26" t="s">
        <v>156</v>
      </c>
      <c r="F28" s="26"/>
      <c r="G28" s="26">
        <v>31</v>
      </c>
      <c r="H28" s="26"/>
      <c r="I28" s="26"/>
      <c r="J28" s="26"/>
      <c r="K28" s="26"/>
      <c r="L28" s="26"/>
      <c r="M28" s="26"/>
      <c r="N28" s="26"/>
      <c r="O28" s="26">
        <v>0</v>
      </c>
      <c r="P28" s="26"/>
      <c r="Q28" s="26"/>
      <c r="R28" s="26"/>
      <c r="S28" s="26"/>
      <c r="T28" s="26"/>
      <c r="U28" s="26">
        <v>0</v>
      </c>
      <c r="V28" s="32"/>
      <c r="W28" s="26"/>
      <c r="X28" s="26"/>
      <c r="Y28" s="26"/>
      <c r="Z28" s="26"/>
      <c r="AA28" s="26"/>
      <c r="AB28" s="26">
        <v>0</v>
      </c>
      <c r="AC28" s="26">
        <v>15000</v>
      </c>
      <c r="AD28" s="26">
        <v>5000</v>
      </c>
      <c r="AE28" s="26">
        <f>AC28-AD28</f>
        <v>10000</v>
      </c>
      <c r="AF28" s="26"/>
      <c r="AG28" s="26"/>
      <c r="AH28" s="26"/>
      <c r="AI28" s="44">
        <f t="shared" si="7"/>
        <v>0</v>
      </c>
      <c r="AJ28" s="26"/>
      <c r="AK28" s="26"/>
      <c r="AL28" s="26">
        <f>AC28*1%+AH28*1%</f>
        <v>150</v>
      </c>
      <c r="AM28" s="32"/>
      <c r="AO28" s="27" t="s">
        <v>173</v>
      </c>
    </row>
    <row r="29" spans="1:42" x14ac:dyDescent="0.35">
      <c r="B29" s="37"/>
      <c r="C29" s="38"/>
      <c r="AM29" s="39">
        <f>SUM(AM2:AM28)</f>
        <v>655808.06677419366</v>
      </c>
      <c r="AN29" s="40"/>
    </row>
    <row r="30" spans="1:42" x14ac:dyDescent="0.35">
      <c r="B30" s="37"/>
      <c r="C30" s="26"/>
      <c r="I30" s="27" t="s">
        <v>171</v>
      </c>
      <c r="AL30" s="27" t="s">
        <v>141</v>
      </c>
      <c r="AM30" s="40">
        <f>'OMan salary'!J14</f>
        <v>0</v>
      </c>
      <c r="AO30" s="40"/>
    </row>
    <row r="31" spans="1:42" x14ac:dyDescent="0.35">
      <c r="AL31" s="27" t="s">
        <v>168</v>
      </c>
      <c r="AM31" s="40">
        <f>15000+5000+2500+2000</f>
        <v>24500</v>
      </c>
      <c r="AO31" s="40"/>
    </row>
    <row r="32" spans="1:42" x14ac:dyDescent="0.35">
      <c r="AD32" s="27" t="e">
        <f>#REF!/30*14</f>
        <v>#REF!</v>
      </c>
      <c r="AL32" s="27" t="s">
        <v>220</v>
      </c>
      <c r="AM32" s="27">
        <v>274621</v>
      </c>
    </row>
    <row r="33" spans="28:39" x14ac:dyDescent="0.35">
      <c r="AJ33" s="27" t="s">
        <v>130</v>
      </c>
      <c r="AM33" s="39">
        <f>AM29+AM30+AM32+AM31</f>
        <v>954929.06677419366</v>
      </c>
    </row>
    <row r="34" spans="28:39" x14ac:dyDescent="0.35">
      <c r="AJ34" s="40" t="s">
        <v>130</v>
      </c>
    </row>
    <row r="35" spans="28:39" x14ac:dyDescent="0.35">
      <c r="AJ35" s="40" t="s">
        <v>130</v>
      </c>
    </row>
    <row r="36" spans="28:39" x14ac:dyDescent="0.35">
      <c r="AI36" s="31"/>
      <c r="AJ36" s="31"/>
    </row>
    <row r="38" spans="28:39" x14ac:dyDescent="0.35">
      <c r="AI38" s="31"/>
      <c r="AJ38" s="31"/>
      <c r="AL38" s="27">
        <f>34000*18%</f>
        <v>6120</v>
      </c>
    </row>
    <row r="39" spans="28:39" x14ac:dyDescent="0.35">
      <c r="AL39" s="27">
        <v>34000</v>
      </c>
    </row>
    <row r="40" spans="28:39" x14ac:dyDescent="0.35">
      <c r="AL40" s="27">
        <f>AL39+AL38</f>
        <v>40120</v>
      </c>
    </row>
    <row r="43" spans="28:39" x14ac:dyDescent="0.35">
      <c r="AM43" s="27">
        <f>1720000/20*100</f>
        <v>8600000</v>
      </c>
    </row>
    <row r="44" spans="28:39" x14ac:dyDescent="0.35">
      <c r="AB44" s="27">
        <f>25000/30*29</f>
        <v>24166.666666666668</v>
      </c>
      <c r="AM44" s="27">
        <f>8555000*20%</f>
        <v>1711000</v>
      </c>
    </row>
  </sheetData>
  <autoFilter ref="A1:AP33" xr:uid="{367A63D5-3D1F-495D-84FB-0193ED2BC8ED}"/>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EC4EC-672F-4678-8491-C866B8B03F9E}">
  <dimension ref="A1:U80"/>
  <sheetViews>
    <sheetView workbookViewId="0">
      <selection activeCell="H16" sqref="H16"/>
    </sheetView>
  </sheetViews>
  <sheetFormatPr defaultRowHeight="14.5" x14ac:dyDescent="0.35"/>
  <cols>
    <col min="2" max="2" width="15.08984375" bestFit="1" customWidth="1"/>
    <col min="3" max="3" width="7.90625" bestFit="1" customWidth="1"/>
    <col min="4" max="4" width="9.54296875" bestFit="1" customWidth="1"/>
    <col min="5" max="5" width="6.81640625" bestFit="1" customWidth="1"/>
    <col min="6" max="6" width="10" bestFit="1" customWidth="1"/>
    <col min="7" max="7" width="5.81640625" bestFit="1" customWidth="1"/>
    <col min="8" max="8" width="11.36328125" customWidth="1"/>
    <col min="9" max="9" width="10.26953125" bestFit="1" customWidth="1"/>
    <col min="10" max="10" width="12.54296875" customWidth="1"/>
    <col min="11" max="11" width="8.36328125" hidden="1" customWidth="1"/>
    <col min="12" max="12" width="6.81640625" hidden="1" customWidth="1"/>
    <col min="13" max="13" width="8" hidden="1" customWidth="1"/>
    <col min="14" max="14" width="25" hidden="1" customWidth="1"/>
    <col min="16" max="16" width="18.36328125" bestFit="1" customWidth="1"/>
    <col min="17" max="17" width="18.36328125" customWidth="1"/>
    <col min="18" max="18" width="11.54296875" bestFit="1" customWidth="1"/>
  </cols>
  <sheetData>
    <row r="1" spans="1:21" x14ac:dyDescent="0.35">
      <c r="A1" s="75" t="s">
        <v>174</v>
      </c>
      <c r="B1" s="75"/>
      <c r="C1" s="75"/>
      <c r="D1" s="75"/>
      <c r="E1" s="75"/>
      <c r="F1" s="75"/>
      <c r="G1" s="75"/>
      <c r="H1" s="75"/>
      <c r="I1" s="75"/>
      <c r="J1" s="75"/>
      <c r="K1" s="75"/>
      <c r="L1" s="75"/>
      <c r="M1" s="75"/>
    </row>
    <row r="2" spans="1:21" x14ac:dyDescent="0.35">
      <c r="A2" s="2"/>
      <c r="B2" s="2"/>
      <c r="C2" s="2"/>
      <c r="D2" s="4"/>
      <c r="E2" s="4"/>
      <c r="F2" s="4"/>
      <c r="G2" s="76" t="s">
        <v>121</v>
      </c>
      <c r="H2" s="76"/>
      <c r="I2" s="4" t="s">
        <v>122</v>
      </c>
      <c r="J2" s="76" t="s">
        <v>30</v>
      </c>
      <c r="K2" s="76"/>
      <c r="L2" s="4"/>
      <c r="M2" s="4" t="s">
        <v>123</v>
      </c>
      <c r="N2" s="4" t="s">
        <v>124</v>
      </c>
    </row>
    <row r="3" spans="1:21" x14ac:dyDescent="0.35">
      <c r="A3" s="2" t="s">
        <v>125</v>
      </c>
      <c r="B3" s="2" t="s">
        <v>126</v>
      </c>
      <c r="C3" s="2" t="s">
        <v>78</v>
      </c>
      <c r="D3" s="4" t="s">
        <v>2</v>
      </c>
      <c r="E3" s="4" t="s">
        <v>127</v>
      </c>
      <c r="F3" s="4" t="s">
        <v>128</v>
      </c>
      <c r="G3" s="4" t="s">
        <v>129</v>
      </c>
      <c r="H3" s="4" t="s">
        <v>14</v>
      </c>
      <c r="I3" s="4" t="s">
        <v>189</v>
      </c>
      <c r="J3" s="4" t="s">
        <v>129</v>
      </c>
      <c r="K3" s="4" t="s">
        <v>131</v>
      </c>
      <c r="L3" s="4"/>
      <c r="M3" s="4"/>
      <c r="N3" s="1"/>
    </row>
    <row r="4" spans="1:21" x14ac:dyDescent="0.35">
      <c r="A4" s="1">
        <v>1</v>
      </c>
      <c r="B4" s="1" t="s">
        <v>132</v>
      </c>
      <c r="C4" s="1" t="s">
        <v>127</v>
      </c>
      <c r="D4" s="5">
        <v>31</v>
      </c>
      <c r="E4" s="5">
        <v>31</v>
      </c>
      <c r="F4" s="5">
        <v>0</v>
      </c>
      <c r="G4" s="5">
        <f>400</f>
        <v>400</v>
      </c>
      <c r="H4" s="5">
        <v>231.4</v>
      </c>
      <c r="I4" s="14">
        <v>0</v>
      </c>
      <c r="J4" s="15">
        <f>G4+H4</f>
        <v>631.4</v>
      </c>
      <c r="K4" s="5">
        <v>0</v>
      </c>
      <c r="L4" s="5">
        <f t="shared" ref="L4:L8" si="0">J4*225</f>
        <v>142065</v>
      </c>
      <c r="M4" s="46">
        <v>0</v>
      </c>
      <c r="N4" s="1" t="s">
        <v>130</v>
      </c>
      <c r="O4" s="5">
        <v>0</v>
      </c>
    </row>
    <row r="5" spans="1:21" x14ac:dyDescent="0.35">
      <c r="A5" s="1">
        <v>2</v>
      </c>
      <c r="B5" s="1" t="s">
        <v>133</v>
      </c>
      <c r="C5" s="1" t="s">
        <v>127</v>
      </c>
      <c r="D5" s="5">
        <v>31</v>
      </c>
      <c r="E5" s="5">
        <v>26</v>
      </c>
      <c r="F5" s="5">
        <v>5</v>
      </c>
      <c r="G5" s="5">
        <v>250</v>
      </c>
      <c r="H5" s="5" t="s">
        <v>130</v>
      </c>
      <c r="I5" s="15">
        <v>40.299999999999997</v>
      </c>
      <c r="J5" s="15">
        <f>G5/31*26</f>
        <v>209.67741935483872</v>
      </c>
      <c r="K5" s="1">
        <v>0</v>
      </c>
      <c r="L5" s="1"/>
      <c r="M5" s="46">
        <v>0</v>
      </c>
      <c r="N5" s="23" t="s">
        <v>130</v>
      </c>
      <c r="O5" t="s">
        <v>130</v>
      </c>
    </row>
    <row r="6" spans="1:21" x14ac:dyDescent="0.35">
      <c r="A6" s="1">
        <v>3</v>
      </c>
      <c r="B6" s="1" t="s">
        <v>134</v>
      </c>
      <c r="C6" s="1" t="s">
        <v>127</v>
      </c>
      <c r="D6" s="5">
        <v>31</v>
      </c>
      <c r="E6" s="5">
        <v>31</v>
      </c>
      <c r="F6" s="5">
        <v>0</v>
      </c>
      <c r="G6" s="5">
        <v>200</v>
      </c>
      <c r="H6" s="5" t="s">
        <v>130</v>
      </c>
      <c r="I6" s="5">
        <v>0</v>
      </c>
      <c r="J6" s="15">
        <f>G6-I6</f>
        <v>200</v>
      </c>
      <c r="K6" s="5">
        <v>0</v>
      </c>
      <c r="L6" s="5">
        <f t="shared" si="0"/>
        <v>45000</v>
      </c>
      <c r="M6" s="46">
        <v>0</v>
      </c>
      <c r="N6" s="6"/>
    </row>
    <row r="7" spans="1:21" x14ac:dyDescent="0.35">
      <c r="A7" s="1">
        <v>4</v>
      </c>
      <c r="B7" s="1" t="s">
        <v>135</v>
      </c>
      <c r="C7" s="1" t="s">
        <v>127</v>
      </c>
      <c r="D7" s="5">
        <v>31</v>
      </c>
      <c r="E7" s="5">
        <v>22</v>
      </c>
      <c r="F7" s="5">
        <v>9</v>
      </c>
      <c r="G7" s="5">
        <v>300</v>
      </c>
      <c r="H7" s="5" t="s">
        <v>130</v>
      </c>
      <c r="I7" s="5">
        <v>0</v>
      </c>
      <c r="J7" s="15">
        <f>(G7-I7)</f>
        <v>300</v>
      </c>
      <c r="K7" s="5">
        <v>0</v>
      </c>
      <c r="L7" s="5">
        <f t="shared" si="0"/>
        <v>67500</v>
      </c>
      <c r="M7" s="46"/>
      <c r="N7" s="1"/>
    </row>
    <row r="8" spans="1:21" x14ac:dyDescent="0.35">
      <c r="A8" s="1">
        <v>5</v>
      </c>
      <c r="B8" s="1" t="s">
        <v>136</v>
      </c>
      <c r="C8" s="1" t="s">
        <v>137</v>
      </c>
      <c r="D8" s="5">
        <v>31</v>
      </c>
      <c r="E8" s="5">
        <v>31</v>
      </c>
      <c r="F8" s="5">
        <v>0</v>
      </c>
      <c r="G8" s="5">
        <v>350</v>
      </c>
      <c r="H8" s="5" t="s">
        <v>130</v>
      </c>
      <c r="I8" s="5">
        <v>0</v>
      </c>
      <c r="J8" s="15"/>
      <c r="K8" s="5">
        <v>0</v>
      </c>
      <c r="L8" s="5">
        <f t="shared" si="0"/>
        <v>0</v>
      </c>
      <c r="M8" s="46"/>
      <c r="N8" s="1"/>
    </row>
    <row r="9" spans="1:21" x14ac:dyDescent="0.35">
      <c r="A9" s="1">
        <v>6</v>
      </c>
      <c r="B9" s="1" t="s">
        <v>139</v>
      </c>
      <c r="C9" s="1" t="s">
        <v>127</v>
      </c>
      <c r="D9" s="5">
        <v>31</v>
      </c>
      <c r="E9" s="5">
        <v>31</v>
      </c>
      <c r="F9" s="5">
        <v>0</v>
      </c>
      <c r="G9" s="5">
        <v>150</v>
      </c>
      <c r="H9" s="5"/>
      <c r="I9" s="14">
        <v>0</v>
      </c>
      <c r="J9" s="15">
        <f>G9-I9</f>
        <v>150</v>
      </c>
      <c r="K9" s="5"/>
      <c r="L9" s="5">
        <f>J9*225</f>
        <v>33750</v>
      </c>
      <c r="M9" s="46">
        <v>0</v>
      </c>
      <c r="N9" s="1"/>
      <c r="O9" s="18"/>
    </row>
    <row r="10" spans="1:21" x14ac:dyDescent="0.35">
      <c r="A10" s="1">
        <v>7</v>
      </c>
      <c r="B10" s="1" t="s">
        <v>166</v>
      </c>
      <c r="C10" s="1" t="s">
        <v>127</v>
      </c>
      <c r="D10" s="5">
        <v>31</v>
      </c>
      <c r="E10" s="5">
        <v>25</v>
      </c>
      <c r="F10" s="5">
        <v>5</v>
      </c>
      <c r="G10" s="5">
        <v>700</v>
      </c>
      <c r="H10" s="5"/>
      <c r="I10" s="14">
        <f>G10*F10/31+700*10/31</f>
        <v>338.70967741935488</v>
      </c>
      <c r="J10" s="15">
        <f>G10-I10</f>
        <v>361.29032258064512</v>
      </c>
      <c r="K10" s="5"/>
      <c r="L10" s="5">
        <f>J10*225</f>
        <v>81290.322580645152</v>
      </c>
      <c r="M10" s="7"/>
      <c r="O10" s="18"/>
    </row>
    <row r="11" spans="1:21" x14ac:dyDescent="0.35">
      <c r="A11" s="1">
        <v>8</v>
      </c>
      <c r="B11" s="1" t="s">
        <v>188</v>
      </c>
      <c r="C11" s="1" t="s">
        <v>127</v>
      </c>
      <c r="D11" s="5">
        <v>31</v>
      </c>
      <c r="E11" s="5">
        <v>29</v>
      </c>
      <c r="F11" s="5">
        <v>2</v>
      </c>
      <c r="G11" s="5">
        <v>300</v>
      </c>
      <c r="H11" s="5"/>
      <c r="I11" s="14">
        <f>G11*F11/31</f>
        <v>19.35483870967742</v>
      </c>
      <c r="J11" s="15">
        <f>G11-I11</f>
        <v>280.64516129032256</v>
      </c>
      <c r="K11" s="5"/>
      <c r="L11" s="5"/>
      <c r="M11" s="7"/>
      <c r="O11" s="18"/>
    </row>
    <row r="12" spans="1:21" x14ac:dyDescent="0.35">
      <c r="D12" s="7"/>
      <c r="E12" s="7"/>
      <c r="F12" s="7"/>
      <c r="G12" s="7"/>
      <c r="H12" s="7"/>
      <c r="I12" s="8" t="s">
        <v>138</v>
      </c>
      <c r="J12" s="13">
        <f>SUM(J4:J11)</f>
        <v>2133.0129032258064</v>
      </c>
      <c r="K12" s="7">
        <f>SUM(K4:K9)</f>
        <v>0</v>
      </c>
      <c r="L12" s="7"/>
      <c r="M12" s="7"/>
      <c r="O12" s="4"/>
      <c r="P12" s="2"/>
      <c r="Q12" s="2"/>
      <c r="R12" s="2"/>
    </row>
    <row r="13" spans="1:21" ht="15.5" x14ac:dyDescent="0.35">
      <c r="D13" s="7"/>
      <c r="E13" s="7"/>
      <c r="F13" s="7"/>
      <c r="G13" s="7"/>
      <c r="H13" s="7"/>
      <c r="I13" s="7"/>
      <c r="J13" s="7"/>
      <c r="K13" s="7"/>
      <c r="L13" s="7"/>
      <c r="M13" s="7"/>
      <c r="O13" s="1"/>
      <c r="P13" s="1"/>
      <c r="Q13" s="1"/>
      <c r="R13" s="16"/>
    </row>
    <row r="14" spans="1:21" x14ac:dyDescent="0.35">
      <c r="D14" s="7"/>
      <c r="E14" s="7"/>
      <c r="F14" s="7"/>
      <c r="G14" s="7"/>
      <c r="H14" s="8"/>
      <c r="I14" s="7"/>
      <c r="J14" s="7"/>
      <c r="K14" s="7"/>
      <c r="L14" s="7">
        <f>SUM(L4:L10)</f>
        <v>369605.32258064515</v>
      </c>
      <c r="M14" s="8"/>
      <c r="N14" s="19">
        <f>L4-15000</f>
        <v>127065</v>
      </c>
      <c r="O14" s="1"/>
      <c r="P14" s="1"/>
      <c r="Q14" s="1"/>
      <c r="R14" s="17"/>
      <c r="U14">
        <v>694790</v>
      </c>
    </row>
    <row r="15" spans="1:21" ht="15.5" x14ac:dyDescent="0.35">
      <c r="D15" s="7"/>
      <c r="E15" s="7"/>
      <c r="F15" s="7"/>
      <c r="G15" s="7"/>
      <c r="H15" s="7"/>
      <c r="I15" s="7"/>
      <c r="J15" s="7"/>
      <c r="K15" s="7"/>
      <c r="L15" s="7"/>
      <c r="M15" s="7"/>
      <c r="N15">
        <f>N14/2</f>
        <v>63532.5</v>
      </c>
      <c r="O15" s="1"/>
      <c r="P15" s="1"/>
      <c r="Q15" s="1"/>
      <c r="R15" s="16"/>
      <c r="U15">
        <v>847416</v>
      </c>
    </row>
    <row r="16" spans="1:21" ht="15.5" x14ac:dyDescent="0.35">
      <c r="D16" s="7"/>
      <c r="E16" s="7"/>
      <c r="F16" s="7"/>
      <c r="G16" s="7"/>
      <c r="H16" s="7"/>
      <c r="I16" s="9"/>
      <c r="J16" s="9"/>
      <c r="K16" s="10"/>
      <c r="L16" s="10"/>
      <c r="O16" s="1"/>
      <c r="P16" s="1"/>
      <c r="Q16" s="1"/>
      <c r="R16" s="16"/>
      <c r="U16">
        <v>1655280</v>
      </c>
    </row>
    <row r="17" spans="2:21" x14ac:dyDescent="0.35">
      <c r="D17" s="7"/>
      <c r="E17" s="7"/>
      <c r="F17" s="77"/>
      <c r="G17" s="77"/>
      <c r="H17" s="7"/>
      <c r="I17" s="7"/>
      <c r="J17" s="7"/>
      <c r="K17" s="11"/>
      <c r="L17" s="11"/>
      <c r="M17" s="12"/>
      <c r="O17" s="1"/>
      <c r="P17" s="1"/>
      <c r="Q17" s="1"/>
      <c r="R17" s="17"/>
      <c r="U17">
        <v>724161</v>
      </c>
    </row>
    <row r="18" spans="2:21" x14ac:dyDescent="0.35">
      <c r="D18" s="7"/>
      <c r="E18" s="7"/>
      <c r="F18" s="7"/>
      <c r="G18" s="7"/>
      <c r="H18" s="7"/>
      <c r="I18" s="7"/>
      <c r="J18" s="7"/>
      <c r="K18" s="11"/>
      <c r="L18" s="11"/>
      <c r="M18" s="12"/>
      <c r="O18" s="1"/>
      <c r="P18" s="1"/>
      <c r="Q18" s="1"/>
      <c r="R18" s="17"/>
      <c r="U18">
        <v>638966</v>
      </c>
    </row>
    <row r="19" spans="2:21" x14ac:dyDescent="0.35">
      <c r="B19" s="2" t="s">
        <v>132</v>
      </c>
      <c r="C19" s="2">
        <v>400</v>
      </c>
      <c r="O19" s="1"/>
      <c r="P19" s="1"/>
      <c r="Q19" s="1"/>
      <c r="R19" s="17"/>
      <c r="U19">
        <v>5157841</v>
      </c>
    </row>
    <row r="20" spans="2:21" x14ac:dyDescent="0.35">
      <c r="B20" s="1" t="s">
        <v>157</v>
      </c>
      <c r="C20" s="3">
        <v>0</v>
      </c>
      <c r="O20" s="1"/>
      <c r="P20" s="1"/>
      <c r="Q20" s="1"/>
      <c r="R20" s="17"/>
    </row>
    <row r="21" spans="2:21" x14ac:dyDescent="0.35">
      <c r="B21" s="1" t="s">
        <v>187</v>
      </c>
      <c r="C21" s="3">
        <v>231.4</v>
      </c>
      <c r="O21" s="1"/>
      <c r="P21" s="1"/>
      <c r="Q21" s="1"/>
      <c r="R21" s="17"/>
    </row>
    <row r="22" spans="2:21" x14ac:dyDescent="0.35">
      <c r="B22" s="2" t="s">
        <v>7</v>
      </c>
      <c r="C22" s="22">
        <f>C19+C21</f>
        <v>631.4</v>
      </c>
      <c r="O22" s="1"/>
      <c r="P22" s="1"/>
      <c r="Q22" s="1"/>
      <c r="R22" s="17"/>
    </row>
    <row r="23" spans="2:21" x14ac:dyDescent="0.35">
      <c r="B23" s="1" t="s">
        <v>145</v>
      </c>
      <c r="C23" s="1">
        <v>0</v>
      </c>
      <c r="O23" s="1"/>
      <c r="P23" s="1"/>
      <c r="Q23" s="1"/>
      <c r="R23" s="17"/>
      <c r="U23">
        <f>SUM(U14:U19)</f>
        <v>9718454</v>
      </c>
    </row>
    <row r="24" spans="2:21" ht="15.5" x14ac:dyDescent="0.35">
      <c r="B24" s="1" t="s">
        <v>146</v>
      </c>
      <c r="C24" s="1">
        <v>50</v>
      </c>
      <c r="O24" s="1"/>
      <c r="P24" s="1"/>
      <c r="Q24" s="1"/>
      <c r="R24" s="16"/>
      <c r="U24">
        <f>U23*0.1%</f>
        <v>9718.4539999999997</v>
      </c>
    </row>
    <row r="25" spans="2:21" ht="15.5" x14ac:dyDescent="0.35">
      <c r="B25" s="1" t="s">
        <v>147</v>
      </c>
      <c r="C25" s="3">
        <f>C19-C23-C24-C20</f>
        <v>350</v>
      </c>
      <c r="O25" s="1"/>
      <c r="P25" s="1"/>
      <c r="Q25" s="1"/>
      <c r="R25" s="16"/>
    </row>
    <row r="26" spans="2:21" ht="15.5" x14ac:dyDescent="0.35">
      <c r="B26" s="1" t="s">
        <v>148</v>
      </c>
      <c r="C26" s="1">
        <f>C25*225</f>
        <v>78750</v>
      </c>
      <c r="O26" s="1"/>
      <c r="P26" s="1"/>
      <c r="Q26" s="1"/>
      <c r="R26" s="16"/>
    </row>
    <row r="27" spans="2:21" x14ac:dyDescent="0.35">
      <c r="B27" s="1" t="s">
        <v>158</v>
      </c>
      <c r="C27" s="1">
        <v>0</v>
      </c>
      <c r="D27" t="s">
        <v>170</v>
      </c>
    </row>
    <row r="28" spans="2:21" x14ac:dyDescent="0.35">
      <c r="B28" s="20" t="s">
        <v>150</v>
      </c>
      <c r="C28" s="24">
        <f>C26-C27</f>
        <v>78750</v>
      </c>
      <c r="E28" s="19">
        <f>C28+C38+C47+C55+C63+C72</f>
        <v>348932.5</v>
      </c>
    </row>
    <row r="32" spans="2:21" x14ac:dyDescent="0.35">
      <c r="B32" s="2" t="s">
        <v>151</v>
      </c>
      <c r="C32" s="2">
        <v>300</v>
      </c>
    </row>
    <row r="33" spans="2:10" x14ac:dyDescent="0.35">
      <c r="B33" s="1" t="s">
        <v>145</v>
      </c>
      <c r="C33" s="1">
        <v>50</v>
      </c>
    </row>
    <row r="34" spans="2:10" x14ac:dyDescent="0.35">
      <c r="B34" s="1" t="s">
        <v>146</v>
      </c>
      <c r="C34" s="1">
        <v>0</v>
      </c>
    </row>
    <row r="35" spans="2:10" x14ac:dyDescent="0.35">
      <c r="B35" s="1" t="s">
        <v>147</v>
      </c>
      <c r="C35" s="1">
        <f>C32-C33-C34</f>
        <v>250</v>
      </c>
    </row>
    <row r="36" spans="2:10" x14ac:dyDescent="0.35">
      <c r="B36" s="1" t="s">
        <v>148</v>
      </c>
      <c r="C36" s="1">
        <f>C35*225</f>
        <v>56250</v>
      </c>
    </row>
    <row r="37" spans="2:10" x14ac:dyDescent="0.35">
      <c r="B37" s="1" t="s">
        <v>149</v>
      </c>
      <c r="C37" s="1"/>
    </row>
    <row r="38" spans="2:10" x14ac:dyDescent="0.35">
      <c r="B38" s="20" t="s">
        <v>150</v>
      </c>
      <c r="C38" s="20">
        <f>C36-C37</f>
        <v>56250</v>
      </c>
    </row>
    <row r="41" spans="2:10" x14ac:dyDescent="0.35">
      <c r="B41" s="2" t="s">
        <v>152</v>
      </c>
      <c r="C41" s="2">
        <v>250</v>
      </c>
    </row>
    <row r="42" spans="2:10" x14ac:dyDescent="0.35">
      <c r="B42" s="1" t="s">
        <v>145</v>
      </c>
      <c r="C42" s="1">
        <f>40.3</f>
        <v>40.299999999999997</v>
      </c>
    </row>
    <row r="43" spans="2:10" x14ac:dyDescent="0.35">
      <c r="B43" s="1" t="s">
        <v>146</v>
      </c>
      <c r="C43" s="1">
        <v>0</v>
      </c>
    </row>
    <row r="44" spans="2:10" x14ac:dyDescent="0.35">
      <c r="B44" s="2" t="s">
        <v>141</v>
      </c>
      <c r="C44" s="2">
        <f>C41-C42-C43</f>
        <v>209.7</v>
      </c>
      <c r="I44" s="2"/>
      <c r="J44" s="2"/>
    </row>
    <row r="45" spans="2:10" ht="15.5" x14ac:dyDescent="0.35">
      <c r="B45" s="1" t="s">
        <v>148</v>
      </c>
      <c r="C45" s="1">
        <f>C44*225</f>
        <v>47182.5</v>
      </c>
      <c r="I45" s="1"/>
      <c r="J45" s="30"/>
    </row>
    <row r="46" spans="2:10" x14ac:dyDescent="0.35">
      <c r="B46" s="1" t="s">
        <v>149</v>
      </c>
      <c r="C46" s="1">
        <f>5000+150</f>
        <v>5150</v>
      </c>
      <c r="D46" t="s">
        <v>180</v>
      </c>
      <c r="I46" s="1"/>
      <c r="J46" s="1"/>
    </row>
    <row r="47" spans="2:10" x14ac:dyDescent="0.35">
      <c r="B47" s="20" t="s">
        <v>150</v>
      </c>
      <c r="C47" s="20">
        <f>C45-C46</f>
        <v>42032.5</v>
      </c>
      <c r="I47" s="1"/>
      <c r="J47" s="1"/>
    </row>
    <row r="48" spans="2:10" x14ac:dyDescent="0.35">
      <c r="I48" s="1"/>
      <c r="J48" s="1"/>
    </row>
    <row r="49" spans="2:10" x14ac:dyDescent="0.35">
      <c r="B49" s="2" t="s">
        <v>153</v>
      </c>
      <c r="C49" s="2">
        <v>200</v>
      </c>
      <c r="I49" s="1"/>
      <c r="J49" s="1"/>
    </row>
    <row r="50" spans="2:10" x14ac:dyDescent="0.35">
      <c r="B50" s="1" t="s">
        <v>145</v>
      </c>
      <c r="C50" s="1">
        <v>0</v>
      </c>
      <c r="I50" s="20"/>
      <c r="J50" s="20"/>
    </row>
    <row r="51" spans="2:10" x14ac:dyDescent="0.35">
      <c r="B51" s="1" t="s">
        <v>146</v>
      </c>
      <c r="C51" s="1">
        <v>50</v>
      </c>
    </row>
    <row r="52" spans="2:10" x14ac:dyDescent="0.35">
      <c r="B52" s="1" t="s">
        <v>147</v>
      </c>
      <c r="C52" s="1">
        <f>C49-C50-C51</f>
        <v>150</v>
      </c>
    </row>
    <row r="53" spans="2:10" x14ac:dyDescent="0.35">
      <c r="B53" s="1" t="s">
        <v>148</v>
      </c>
      <c r="C53" s="1">
        <f>C52*225</f>
        <v>33750</v>
      </c>
    </row>
    <row r="54" spans="2:10" x14ac:dyDescent="0.35">
      <c r="B54" s="1" t="s">
        <v>149</v>
      </c>
      <c r="C54" s="1">
        <v>0</v>
      </c>
    </row>
    <row r="55" spans="2:10" x14ac:dyDescent="0.35">
      <c r="B55" s="20" t="s">
        <v>150</v>
      </c>
      <c r="C55" s="20">
        <f>C53-C54</f>
        <v>33750</v>
      </c>
    </row>
    <row r="57" spans="2:10" x14ac:dyDescent="0.35">
      <c r="B57" s="2" t="s">
        <v>154</v>
      </c>
      <c r="C57" s="2">
        <v>150</v>
      </c>
    </row>
    <row r="58" spans="2:10" x14ac:dyDescent="0.35">
      <c r="B58" s="1" t="s">
        <v>145</v>
      </c>
      <c r="C58" s="1">
        <v>0</v>
      </c>
    </row>
    <row r="59" spans="2:10" x14ac:dyDescent="0.35">
      <c r="B59" s="1" t="s">
        <v>146</v>
      </c>
      <c r="C59" s="1">
        <v>50</v>
      </c>
    </row>
    <row r="60" spans="2:10" x14ac:dyDescent="0.35">
      <c r="B60" s="1" t="s">
        <v>147</v>
      </c>
      <c r="C60" s="1">
        <f>C57-C58-C59</f>
        <v>100</v>
      </c>
    </row>
    <row r="61" spans="2:10" x14ac:dyDescent="0.35">
      <c r="B61" s="1" t="s">
        <v>148</v>
      </c>
      <c r="C61" s="1">
        <f>C60*225</f>
        <v>22500</v>
      </c>
    </row>
    <row r="62" spans="2:10" x14ac:dyDescent="0.35">
      <c r="B62" s="1" t="s">
        <v>149</v>
      </c>
      <c r="C62" s="1">
        <v>0</v>
      </c>
    </row>
    <row r="63" spans="2:10" x14ac:dyDescent="0.35">
      <c r="B63" s="20" t="s">
        <v>150</v>
      </c>
      <c r="C63" s="20">
        <f>C61-C62</f>
        <v>22500</v>
      </c>
      <c r="D63">
        <f>C63+C55</f>
        <v>56250</v>
      </c>
    </row>
    <row r="66" spans="2:4" x14ac:dyDescent="0.35">
      <c r="B66" s="2" t="s">
        <v>167</v>
      </c>
      <c r="C66" s="2">
        <v>700</v>
      </c>
    </row>
    <row r="67" spans="2:4" x14ac:dyDescent="0.35">
      <c r="B67" s="1" t="s">
        <v>145</v>
      </c>
      <c r="C67" s="1">
        <v>136</v>
      </c>
      <c r="D67" t="s">
        <v>181</v>
      </c>
    </row>
    <row r="68" spans="2:4" x14ac:dyDescent="0.35">
      <c r="B68" s="1" t="s">
        <v>146</v>
      </c>
      <c r="C68" s="1">
        <v>50</v>
      </c>
    </row>
    <row r="69" spans="2:4" x14ac:dyDescent="0.35">
      <c r="B69" s="1" t="s">
        <v>147</v>
      </c>
      <c r="C69" s="1">
        <f>C66-C67-C68</f>
        <v>514</v>
      </c>
    </row>
    <row r="70" spans="2:4" x14ac:dyDescent="0.35">
      <c r="B70" s="1" t="s">
        <v>148</v>
      </c>
      <c r="C70" s="1">
        <f>C69*225</f>
        <v>115650</v>
      </c>
    </row>
    <row r="71" spans="2:4" x14ac:dyDescent="0.35">
      <c r="B71" s="1" t="s">
        <v>149</v>
      </c>
      <c r="C71" s="1">
        <v>0</v>
      </c>
    </row>
    <row r="72" spans="2:4" x14ac:dyDescent="0.35">
      <c r="B72" s="20" t="s">
        <v>150</v>
      </c>
      <c r="C72" s="20">
        <f>C70-C71</f>
        <v>115650</v>
      </c>
    </row>
    <row r="74" spans="2:4" x14ac:dyDescent="0.35">
      <c r="B74" s="2"/>
      <c r="C74" s="2"/>
    </row>
    <row r="75" spans="2:4" x14ac:dyDescent="0.35">
      <c r="B75" s="1"/>
      <c r="C75" s="1"/>
    </row>
    <row r="76" spans="2:4" x14ac:dyDescent="0.35">
      <c r="B76" s="1"/>
      <c r="C76" s="1"/>
    </row>
    <row r="77" spans="2:4" x14ac:dyDescent="0.35">
      <c r="B77" s="1"/>
      <c r="C77" s="1"/>
    </row>
    <row r="78" spans="2:4" x14ac:dyDescent="0.35">
      <c r="B78" s="1"/>
      <c r="C78" s="1"/>
    </row>
    <row r="79" spans="2:4" x14ac:dyDescent="0.35">
      <c r="B79" s="1"/>
      <c r="C79" s="1"/>
    </row>
    <row r="80" spans="2:4" x14ac:dyDescent="0.35">
      <c r="B80" s="20"/>
      <c r="C80" s="20"/>
    </row>
  </sheetData>
  <mergeCells count="4">
    <mergeCell ref="A1:M1"/>
    <mergeCell ref="G2:H2"/>
    <mergeCell ref="J2:K2"/>
    <mergeCell ref="F17:G1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D4B1C-057F-48D4-A5CC-449064161733}">
  <dimension ref="A1:M22"/>
  <sheetViews>
    <sheetView topLeftCell="A4" workbookViewId="0">
      <selection activeCell="L22" sqref="L22"/>
    </sheetView>
  </sheetViews>
  <sheetFormatPr defaultRowHeight="14.5" x14ac:dyDescent="0.35"/>
  <cols>
    <col min="2" max="2" width="11.26953125" bestFit="1" customWidth="1"/>
    <col min="3" max="3" width="16.1796875" customWidth="1"/>
    <col min="6" max="6" width="9" bestFit="1" customWidth="1"/>
    <col min="12" max="12" width="11.1796875" customWidth="1"/>
  </cols>
  <sheetData>
    <row r="1" spans="1:13" ht="16.5" x14ac:dyDescent="0.35">
      <c r="A1" s="78" t="s">
        <v>222</v>
      </c>
      <c r="B1" s="78"/>
      <c r="C1" s="78"/>
      <c r="D1" s="78"/>
      <c r="E1" s="78"/>
      <c r="F1" s="78"/>
      <c r="G1" s="78"/>
      <c r="H1" s="78"/>
      <c r="I1" s="78"/>
      <c r="J1" s="78"/>
      <c r="K1" s="78"/>
      <c r="L1" s="78"/>
      <c r="M1" s="78"/>
    </row>
    <row r="2" spans="1:13" ht="26" x14ac:dyDescent="0.35">
      <c r="A2" s="52" t="s">
        <v>223</v>
      </c>
      <c r="B2" s="52" t="s">
        <v>224</v>
      </c>
      <c r="C2" s="52" t="s">
        <v>225</v>
      </c>
      <c r="D2" s="52" t="s">
        <v>226</v>
      </c>
      <c r="E2" s="53" t="s">
        <v>227</v>
      </c>
      <c r="F2" s="54" t="s">
        <v>228</v>
      </c>
      <c r="G2" s="54" t="s">
        <v>229</v>
      </c>
      <c r="H2" s="54" t="s">
        <v>128</v>
      </c>
      <c r="I2" s="55" t="s">
        <v>189</v>
      </c>
      <c r="J2" s="55" t="s">
        <v>25</v>
      </c>
      <c r="K2" s="56" t="s">
        <v>230</v>
      </c>
      <c r="L2" s="56" t="s">
        <v>231</v>
      </c>
      <c r="M2" s="55" t="s">
        <v>124</v>
      </c>
    </row>
    <row r="3" spans="1:13" x14ac:dyDescent="0.35">
      <c r="A3" s="57" t="s">
        <v>232</v>
      </c>
      <c r="B3" s="58" t="s">
        <v>233</v>
      </c>
      <c r="C3" s="59" t="s">
        <v>234</v>
      </c>
      <c r="D3" s="60" t="s">
        <v>235</v>
      </c>
      <c r="E3" s="57">
        <v>31</v>
      </c>
      <c r="F3" s="61">
        <v>15000</v>
      </c>
      <c r="G3" s="57">
        <v>31</v>
      </c>
      <c r="H3" s="57">
        <v>0</v>
      </c>
      <c r="I3" s="62">
        <v>0</v>
      </c>
      <c r="J3" s="63">
        <v>0</v>
      </c>
      <c r="K3" s="63">
        <v>2800</v>
      </c>
      <c r="L3" s="61">
        <v>17800</v>
      </c>
      <c r="M3" s="64"/>
    </row>
    <row r="4" spans="1:13" x14ac:dyDescent="0.35">
      <c r="A4" s="57" t="s">
        <v>232</v>
      </c>
      <c r="B4" s="58" t="s">
        <v>237</v>
      </c>
      <c r="C4" s="59" t="s">
        <v>238</v>
      </c>
      <c r="D4" s="60" t="s">
        <v>239</v>
      </c>
      <c r="E4" s="57">
        <v>31</v>
      </c>
      <c r="F4" s="61">
        <v>15000</v>
      </c>
      <c r="G4" s="57">
        <v>31</v>
      </c>
      <c r="H4" s="57">
        <v>0</v>
      </c>
      <c r="I4" s="62">
        <v>0</v>
      </c>
      <c r="J4" s="63">
        <v>5300</v>
      </c>
      <c r="K4" s="63">
        <v>2800</v>
      </c>
      <c r="L4" s="61">
        <v>12500</v>
      </c>
      <c r="M4" s="64"/>
    </row>
    <row r="5" spans="1:13" x14ac:dyDescent="0.35">
      <c r="A5" s="57" t="s">
        <v>232</v>
      </c>
      <c r="B5" s="58" t="s">
        <v>240</v>
      </c>
      <c r="C5" s="59" t="s">
        <v>241</v>
      </c>
      <c r="D5" s="60" t="s">
        <v>242</v>
      </c>
      <c r="E5" s="57">
        <v>31</v>
      </c>
      <c r="F5" s="61">
        <v>15000</v>
      </c>
      <c r="G5" s="57">
        <v>31</v>
      </c>
      <c r="H5" s="57">
        <v>0</v>
      </c>
      <c r="I5" s="62">
        <v>0</v>
      </c>
      <c r="J5" s="63">
        <v>1100</v>
      </c>
      <c r="K5" s="63">
        <v>2800</v>
      </c>
      <c r="L5" s="61">
        <v>16700</v>
      </c>
      <c r="M5" s="64"/>
    </row>
    <row r="6" spans="1:13" x14ac:dyDescent="0.35">
      <c r="A6" s="5" t="s">
        <v>232</v>
      </c>
      <c r="B6" s="58" t="s">
        <v>243</v>
      </c>
      <c r="C6" s="59" t="s">
        <v>244</v>
      </c>
      <c r="D6" s="60" t="s">
        <v>245</v>
      </c>
      <c r="E6" s="57">
        <v>31</v>
      </c>
      <c r="F6" s="61">
        <v>15000</v>
      </c>
      <c r="G6" s="57">
        <v>31</v>
      </c>
      <c r="H6" s="57">
        <v>0</v>
      </c>
      <c r="I6" s="62">
        <v>0</v>
      </c>
      <c r="J6" s="63">
        <v>100</v>
      </c>
      <c r="K6" s="63">
        <v>2800</v>
      </c>
      <c r="L6" s="61">
        <v>17700</v>
      </c>
      <c r="M6" s="64"/>
    </row>
    <row r="7" spans="1:13" x14ac:dyDescent="0.35">
      <c r="A7" s="57" t="s">
        <v>232</v>
      </c>
      <c r="B7" s="58" t="s">
        <v>246</v>
      </c>
      <c r="C7" s="59" t="s">
        <v>247</v>
      </c>
      <c r="D7" s="60" t="s">
        <v>248</v>
      </c>
      <c r="E7" s="57">
        <v>31</v>
      </c>
      <c r="F7" s="61">
        <v>17000</v>
      </c>
      <c r="G7" s="57">
        <v>31</v>
      </c>
      <c r="H7" s="57">
        <v>0</v>
      </c>
      <c r="I7" s="62">
        <v>0</v>
      </c>
      <c r="J7" s="63">
        <v>300</v>
      </c>
      <c r="K7" s="63">
        <v>2800</v>
      </c>
      <c r="L7" s="61">
        <v>19500</v>
      </c>
      <c r="M7" s="64"/>
    </row>
    <row r="8" spans="1:13" x14ac:dyDescent="0.35">
      <c r="A8" s="57" t="s">
        <v>232</v>
      </c>
      <c r="B8" s="58" t="s">
        <v>249</v>
      </c>
      <c r="C8" s="59" t="s">
        <v>250</v>
      </c>
      <c r="D8" s="60" t="s">
        <v>251</v>
      </c>
      <c r="E8" s="57">
        <v>31</v>
      </c>
      <c r="F8" s="61">
        <v>15000</v>
      </c>
      <c r="G8" s="57">
        <v>31</v>
      </c>
      <c r="H8" s="57">
        <v>0</v>
      </c>
      <c r="I8" s="62">
        <v>0</v>
      </c>
      <c r="J8" s="63">
        <v>300</v>
      </c>
      <c r="K8" s="63">
        <v>2800</v>
      </c>
      <c r="L8" s="61">
        <v>17500</v>
      </c>
      <c r="M8" s="64"/>
    </row>
    <row r="9" spans="1:13" x14ac:dyDescent="0.35">
      <c r="A9" s="57" t="s">
        <v>232</v>
      </c>
      <c r="B9" s="58" t="s">
        <v>252</v>
      </c>
      <c r="C9" s="59" t="s">
        <v>253</v>
      </c>
      <c r="D9" s="60" t="s">
        <v>254</v>
      </c>
      <c r="E9" s="57">
        <v>31</v>
      </c>
      <c r="F9" s="61">
        <v>15000</v>
      </c>
      <c r="G9" s="57">
        <v>31</v>
      </c>
      <c r="H9" s="57">
        <v>0</v>
      </c>
      <c r="I9" s="62">
        <v>0</v>
      </c>
      <c r="J9" s="63">
        <v>0</v>
      </c>
      <c r="K9" s="63">
        <v>2800</v>
      </c>
      <c r="L9" s="61">
        <v>17800</v>
      </c>
      <c r="M9" s="64"/>
    </row>
    <row r="10" spans="1:13" x14ac:dyDescent="0.35">
      <c r="A10" s="57" t="s">
        <v>232</v>
      </c>
      <c r="B10" s="58" t="s">
        <v>255</v>
      </c>
      <c r="C10" s="59" t="s">
        <v>256</v>
      </c>
      <c r="D10" s="63" t="s">
        <v>257</v>
      </c>
      <c r="E10" s="57">
        <v>31</v>
      </c>
      <c r="F10" s="61">
        <v>15000</v>
      </c>
      <c r="G10" s="57">
        <v>31</v>
      </c>
      <c r="H10" s="57">
        <v>0</v>
      </c>
      <c r="I10" s="62">
        <v>0</v>
      </c>
      <c r="J10" s="63">
        <v>100</v>
      </c>
      <c r="K10" s="63">
        <v>2800</v>
      </c>
      <c r="L10" s="61">
        <v>17700</v>
      </c>
      <c r="M10" s="64"/>
    </row>
    <row r="11" spans="1:13" x14ac:dyDescent="0.35">
      <c r="A11" s="5" t="s">
        <v>232</v>
      </c>
      <c r="B11" s="58" t="s">
        <v>258</v>
      </c>
      <c r="C11" s="59" t="s">
        <v>130</v>
      </c>
      <c r="D11" s="63" t="s">
        <v>259</v>
      </c>
      <c r="E11" s="57">
        <v>0</v>
      </c>
      <c r="F11" s="61">
        <v>15000</v>
      </c>
      <c r="G11" s="57">
        <v>31</v>
      </c>
      <c r="H11" s="57">
        <v>31</v>
      </c>
      <c r="I11" s="62">
        <v>15000</v>
      </c>
      <c r="J11" s="63">
        <v>900</v>
      </c>
      <c r="K11" s="63">
        <v>2800</v>
      </c>
      <c r="L11" s="61">
        <v>1900</v>
      </c>
      <c r="M11" s="1"/>
    </row>
    <row r="12" spans="1:13" x14ac:dyDescent="0.35">
      <c r="A12" s="57" t="s">
        <v>232</v>
      </c>
      <c r="B12" s="58" t="s">
        <v>260</v>
      </c>
      <c r="C12" s="59" t="s">
        <v>261</v>
      </c>
      <c r="D12" s="63" t="s">
        <v>262</v>
      </c>
      <c r="E12" s="57">
        <v>31</v>
      </c>
      <c r="F12" s="61">
        <v>15000</v>
      </c>
      <c r="G12" s="57">
        <v>31</v>
      </c>
      <c r="H12" s="57">
        <v>0</v>
      </c>
      <c r="I12" s="62">
        <v>0</v>
      </c>
      <c r="J12" s="63">
        <v>0</v>
      </c>
      <c r="K12" s="63">
        <v>2800</v>
      </c>
      <c r="L12" s="61">
        <v>17800</v>
      </c>
      <c r="M12" s="64"/>
    </row>
    <row r="13" spans="1:13" x14ac:dyDescent="0.35">
      <c r="A13" s="5" t="s">
        <v>232</v>
      </c>
      <c r="B13" s="58" t="s">
        <v>263</v>
      </c>
      <c r="C13" s="59" t="s">
        <v>130</v>
      </c>
      <c r="D13" s="63" t="s">
        <v>264</v>
      </c>
      <c r="E13" s="57">
        <v>31</v>
      </c>
      <c r="F13" s="61">
        <v>15000</v>
      </c>
      <c r="G13" s="57">
        <v>31</v>
      </c>
      <c r="H13" s="57">
        <v>0</v>
      </c>
      <c r="I13" s="62">
        <v>0</v>
      </c>
      <c r="J13" s="63">
        <v>100</v>
      </c>
      <c r="K13" s="63">
        <v>2800</v>
      </c>
      <c r="L13" s="61">
        <v>17700</v>
      </c>
      <c r="M13" s="1"/>
    </row>
    <row r="14" spans="1:13" x14ac:dyDescent="0.35">
      <c r="A14" s="5" t="s">
        <v>232</v>
      </c>
      <c r="B14" s="58" t="s">
        <v>265</v>
      </c>
      <c r="C14" s="59"/>
      <c r="D14" s="63" t="s">
        <v>266</v>
      </c>
      <c r="E14" s="57">
        <v>31</v>
      </c>
      <c r="F14" s="61">
        <v>15000</v>
      </c>
      <c r="G14" s="57">
        <v>31</v>
      </c>
      <c r="H14" s="57">
        <v>0</v>
      </c>
      <c r="I14" s="62">
        <v>0</v>
      </c>
      <c r="J14" s="63">
        <v>100</v>
      </c>
      <c r="K14" s="63">
        <v>2800</v>
      </c>
      <c r="L14" s="61">
        <v>17700</v>
      </c>
      <c r="M14" s="1"/>
    </row>
    <row r="15" spans="1:13" x14ac:dyDescent="0.35">
      <c r="A15" s="57" t="s">
        <v>232</v>
      </c>
      <c r="B15" s="58" t="s">
        <v>267</v>
      </c>
      <c r="C15" s="59"/>
      <c r="D15" s="63" t="s">
        <v>268</v>
      </c>
      <c r="E15" s="57">
        <v>31</v>
      </c>
      <c r="F15" s="61">
        <v>15000</v>
      </c>
      <c r="G15" s="57">
        <v>31</v>
      </c>
      <c r="H15" s="57">
        <v>0</v>
      </c>
      <c r="I15" s="62">
        <v>0</v>
      </c>
      <c r="J15" s="63">
        <v>2100</v>
      </c>
      <c r="K15" s="63">
        <v>2800</v>
      </c>
      <c r="L15" s="61">
        <v>15700</v>
      </c>
      <c r="M15" s="64"/>
    </row>
    <row r="16" spans="1:13" x14ac:dyDescent="0.35">
      <c r="A16" s="57" t="s">
        <v>232</v>
      </c>
      <c r="B16" s="57"/>
      <c r="C16" s="65"/>
      <c r="D16" s="64" t="s">
        <v>269</v>
      </c>
      <c r="E16" s="57">
        <v>30</v>
      </c>
      <c r="F16" s="66">
        <v>4000</v>
      </c>
      <c r="G16" s="57">
        <v>31</v>
      </c>
      <c r="H16" s="57">
        <v>1</v>
      </c>
      <c r="I16" s="62">
        <v>129.03225806451613</v>
      </c>
      <c r="J16" s="63">
        <v>0</v>
      </c>
      <c r="K16" s="63">
        <v>0</v>
      </c>
      <c r="L16" s="61">
        <v>3870.9677419354839</v>
      </c>
      <c r="M16" s="64"/>
    </row>
    <row r="17" spans="1:13" x14ac:dyDescent="0.35">
      <c r="A17" s="57" t="s">
        <v>232</v>
      </c>
      <c r="B17" s="58" t="s">
        <v>270</v>
      </c>
      <c r="C17" s="65"/>
      <c r="D17" s="64" t="s">
        <v>271</v>
      </c>
      <c r="E17" s="57">
        <v>31</v>
      </c>
      <c r="F17" s="66">
        <v>15000</v>
      </c>
      <c r="G17" s="57">
        <v>31</v>
      </c>
      <c r="H17" s="57">
        <v>0</v>
      </c>
      <c r="I17" s="62">
        <v>0</v>
      </c>
      <c r="J17" s="63">
        <v>100</v>
      </c>
      <c r="K17" s="63">
        <v>2800</v>
      </c>
      <c r="L17" s="61">
        <v>17700</v>
      </c>
      <c r="M17" s="64"/>
    </row>
    <row r="18" spans="1:13" x14ac:dyDescent="0.35">
      <c r="A18" s="57" t="s">
        <v>232</v>
      </c>
      <c r="B18" s="58" t="s">
        <v>272</v>
      </c>
      <c r="C18" s="65">
        <v>8217550949</v>
      </c>
      <c r="D18" s="64" t="s">
        <v>273</v>
      </c>
      <c r="E18" s="57">
        <v>31</v>
      </c>
      <c r="F18" s="66">
        <v>15000</v>
      </c>
      <c r="G18" s="57">
        <v>31</v>
      </c>
      <c r="H18" s="57">
        <v>0</v>
      </c>
      <c r="I18" s="62">
        <v>0</v>
      </c>
      <c r="J18" s="63">
        <v>0</v>
      </c>
      <c r="K18" s="63">
        <v>2800</v>
      </c>
      <c r="L18" s="61">
        <v>17800</v>
      </c>
      <c r="M18" s="64"/>
    </row>
    <row r="19" spans="1:13" x14ac:dyDescent="0.35">
      <c r="A19" s="57" t="s">
        <v>232</v>
      </c>
      <c r="B19" s="58" t="s">
        <v>274</v>
      </c>
      <c r="C19" s="65">
        <v>8217637923</v>
      </c>
      <c r="D19" s="64" t="s">
        <v>275</v>
      </c>
      <c r="E19" s="57">
        <v>31</v>
      </c>
      <c r="F19" s="66">
        <v>15000</v>
      </c>
      <c r="G19" s="57">
        <v>31</v>
      </c>
      <c r="H19" s="57">
        <v>0</v>
      </c>
      <c r="I19" s="62">
        <v>0</v>
      </c>
      <c r="J19" s="63">
        <v>0</v>
      </c>
      <c r="K19" s="63">
        <v>2800</v>
      </c>
      <c r="L19" s="61">
        <v>17800</v>
      </c>
      <c r="M19" s="64"/>
    </row>
    <row r="20" spans="1:13" x14ac:dyDescent="0.35">
      <c r="A20" s="57" t="s">
        <v>232</v>
      </c>
      <c r="B20" s="58" t="s">
        <v>276</v>
      </c>
      <c r="C20" s="65"/>
      <c r="D20" s="64" t="s">
        <v>277</v>
      </c>
      <c r="E20" s="57">
        <v>0</v>
      </c>
      <c r="F20" s="66">
        <v>15000</v>
      </c>
      <c r="G20" s="57">
        <v>31</v>
      </c>
      <c r="H20" s="57">
        <v>31</v>
      </c>
      <c r="I20" s="62">
        <v>15000</v>
      </c>
      <c r="J20" s="63">
        <v>900</v>
      </c>
      <c r="K20" s="63">
        <v>2800</v>
      </c>
      <c r="L20" s="61">
        <v>1900</v>
      </c>
      <c r="M20" s="64"/>
    </row>
    <row r="21" spans="1:13" x14ac:dyDescent="0.35">
      <c r="A21" s="57" t="s">
        <v>232</v>
      </c>
      <c r="B21" s="58" t="s">
        <v>278</v>
      </c>
      <c r="C21" s="65"/>
      <c r="D21" s="64" t="s">
        <v>279</v>
      </c>
      <c r="E21" s="57">
        <v>0</v>
      </c>
      <c r="F21" s="66">
        <v>15000</v>
      </c>
      <c r="G21" s="57">
        <v>31</v>
      </c>
      <c r="H21" s="57">
        <v>31</v>
      </c>
      <c r="I21" s="62">
        <v>15000</v>
      </c>
      <c r="J21" s="63">
        <v>900</v>
      </c>
      <c r="K21" s="63">
        <v>2800</v>
      </c>
      <c r="L21" s="61">
        <v>1900</v>
      </c>
      <c r="M21" s="64"/>
    </row>
    <row r="22" spans="1:13" x14ac:dyDescent="0.35">
      <c r="A22" s="67"/>
      <c r="B22" s="67"/>
      <c r="C22" s="67"/>
      <c r="D22" s="67"/>
      <c r="E22" s="67"/>
      <c r="F22" s="67"/>
      <c r="G22" s="67"/>
      <c r="H22" s="67"/>
      <c r="I22" s="67"/>
      <c r="J22" s="67"/>
      <c r="K22" s="45"/>
      <c r="L22" s="68">
        <v>268970.96774193551</v>
      </c>
      <c r="M22" s="67"/>
    </row>
  </sheetData>
  <mergeCells count="1">
    <mergeCell ref="A1:M1"/>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158E0-ED79-4E37-8EC4-579C2AFA1D20}">
  <dimension ref="A2:H14"/>
  <sheetViews>
    <sheetView workbookViewId="0">
      <selection activeCell="C11" sqref="C11"/>
    </sheetView>
  </sheetViews>
  <sheetFormatPr defaultRowHeight="14.5" x14ac:dyDescent="0.35"/>
  <cols>
    <col min="2" max="2" width="28" bestFit="1" customWidth="1"/>
    <col min="3" max="3" width="11.81640625" bestFit="1" customWidth="1"/>
    <col min="4" max="6" width="11.81640625" customWidth="1"/>
  </cols>
  <sheetData>
    <row r="2" spans="1:8" x14ac:dyDescent="0.35">
      <c r="A2" s="2" t="s">
        <v>79</v>
      </c>
      <c r="B2" s="2" t="s">
        <v>80</v>
      </c>
      <c r="C2" s="2" t="s">
        <v>81</v>
      </c>
      <c r="D2" s="2" t="s">
        <v>92</v>
      </c>
      <c r="E2" s="2" t="s">
        <v>93</v>
      </c>
      <c r="F2" s="2" t="s">
        <v>94</v>
      </c>
      <c r="G2" s="2" t="s">
        <v>82</v>
      </c>
      <c r="H2" s="2" t="s">
        <v>83</v>
      </c>
    </row>
    <row r="3" spans="1:8" x14ac:dyDescent="0.35">
      <c r="A3" s="1">
        <v>1</v>
      </c>
      <c r="B3" s="1" t="s">
        <v>45</v>
      </c>
      <c r="C3" s="1">
        <v>30</v>
      </c>
      <c r="D3" s="1">
        <f>SUM('Salary Jan 2026'!R9:T9)</f>
        <v>20000</v>
      </c>
      <c r="E3" s="3">
        <f t="shared" ref="E3:E12" si="0">D3/30/8</f>
        <v>83.333333333333329</v>
      </c>
      <c r="F3" s="22">
        <f t="shared" ref="F3:F11" si="1">C3*E3</f>
        <v>2500</v>
      </c>
      <c r="G3" s="1">
        <v>5</v>
      </c>
      <c r="H3" s="1"/>
    </row>
    <row r="4" spans="1:8" x14ac:dyDescent="0.35">
      <c r="A4" s="1">
        <v>2</v>
      </c>
      <c r="B4" s="1" t="s">
        <v>51</v>
      </c>
      <c r="C4" s="3"/>
      <c r="D4" s="1">
        <f>SUM('Salary Jan 2026'!R12:T12)</f>
        <v>37000</v>
      </c>
      <c r="E4" s="3">
        <f t="shared" si="0"/>
        <v>154.16666666666666</v>
      </c>
      <c r="F4" s="22">
        <f t="shared" si="1"/>
        <v>0</v>
      </c>
      <c r="G4" s="1">
        <v>1</v>
      </c>
      <c r="H4" s="1">
        <v>0</v>
      </c>
    </row>
    <row r="5" spans="1:8" x14ac:dyDescent="0.35">
      <c r="A5" s="1">
        <v>3</v>
      </c>
      <c r="B5" s="1" t="s">
        <v>84</v>
      </c>
      <c r="C5" s="1">
        <v>8</v>
      </c>
      <c r="D5" s="1">
        <f>SUM('Salary Jan 2026'!R14:T14)</f>
        <v>32000</v>
      </c>
      <c r="E5" s="3">
        <f t="shared" si="0"/>
        <v>133.33333333333334</v>
      </c>
      <c r="F5" s="22">
        <f t="shared" si="1"/>
        <v>1066.6666666666667</v>
      </c>
      <c r="G5" s="1">
        <v>1</v>
      </c>
      <c r="H5" s="1">
        <v>0</v>
      </c>
    </row>
    <row r="6" spans="1:8" x14ac:dyDescent="0.35">
      <c r="A6" s="1">
        <v>4</v>
      </c>
      <c r="B6" s="1" t="s">
        <v>56</v>
      </c>
      <c r="C6" s="1">
        <v>0</v>
      </c>
      <c r="D6" s="1">
        <v>27000</v>
      </c>
      <c r="E6" s="3">
        <f t="shared" si="0"/>
        <v>112.5</v>
      </c>
      <c r="F6" s="2">
        <f t="shared" si="1"/>
        <v>0</v>
      </c>
      <c r="G6" s="1">
        <v>4.5</v>
      </c>
      <c r="H6" s="1">
        <v>3.5</v>
      </c>
    </row>
    <row r="7" spans="1:8" x14ac:dyDescent="0.35">
      <c r="A7" s="1">
        <v>5</v>
      </c>
      <c r="B7" s="1" t="s">
        <v>85</v>
      </c>
      <c r="C7" s="1">
        <v>24</v>
      </c>
      <c r="D7" s="1">
        <f>SUM('Salary Jan 2026'!R16:T16)</f>
        <v>31000</v>
      </c>
      <c r="E7" s="3">
        <f>D7/30/8</f>
        <v>129.16666666666666</v>
      </c>
      <c r="F7" s="22">
        <f>C7*E7</f>
        <v>3100</v>
      </c>
      <c r="G7" s="1">
        <v>2</v>
      </c>
      <c r="H7" s="1">
        <v>0</v>
      </c>
    </row>
    <row r="8" spans="1:8" x14ac:dyDescent="0.35">
      <c r="A8" s="1">
        <v>6</v>
      </c>
      <c r="B8" s="1" t="s">
        <v>86</v>
      </c>
      <c r="C8" s="1">
        <v>35</v>
      </c>
      <c r="D8" s="1">
        <f>SUM('Salary Jan 2026'!R17:T17)</f>
        <v>26000</v>
      </c>
      <c r="E8" s="3">
        <f t="shared" si="0"/>
        <v>108.33333333333333</v>
      </c>
      <c r="F8" s="22">
        <f t="shared" si="1"/>
        <v>3791.6666666666665</v>
      </c>
      <c r="G8" s="1">
        <v>0</v>
      </c>
      <c r="H8" s="1">
        <v>0</v>
      </c>
    </row>
    <row r="9" spans="1:8" x14ac:dyDescent="0.35">
      <c r="A9" s="1">
        <v>7</v>
      </c>
      <c r="B9" s="1" t="s">
        <v>87</v>
      </c>
      <c r="C9" s="1">
        <v>35</v>
      </c>
      <c r="D9" s="1">
        <f>SUM('Salary Jan 2026'!R18:T18)</f>
        <v>25000</v>
      </c>
      <c r="E9" s="3">
        <f t="shared" si="0"/>
        <v>104.16666666666667</v>
      </c>
      <c r="F9" s="22">
        <f t="shared" si="1"/>
        <v>3645.8333333333335</v>
      </c>
      <c r="G9" s="1">
        <v>0</v>
      </c>
      <c r="H9" s="1">
        <v>0</v>
      </c>
    </row>
    <row r="10" spans="1:8" x14ac:dyDescent="0.35">
      <c r="A10" s="1">
        <v>8</v>
      </c>
      <c r="B10" s="1" t="s">
        <v>88</v>
      </c>
      <c r="C10" s="1">
        <v>10</v>
      </c>
      <c r="D10" s="1">
        <f>SUM('Salary Jan 2026'!R19:T19)</f>
        <v>30000</v>
      </c>
      <c r="E10" s="3">
        <f t="shared" si="0"/>
        <v>125</v>
      </c>
      <c r="F10" s="2">
        <v>0</v>
      </c>
      <c r="G10" s="1">
        <v>2</v>
      </c>
      <c r="H10" s="1">
        <v>1</v>
      </c>
    </row>
    <row r="11" spans="1:8" x14ac:dyDescent="0.35">
      <c r="A11" s="1">
        <v>9</v>
      </c>
      <c r="B11" s="1" t="s">
        <v>89</v>
      </c>
      <c r="C11" s="3">
        <v>8</v>
      </c>
      <c r="D11" s="1">
        <f>SUM('Salary Jan 2026'!R20:T20)</f>
        <v>31000</v>
      </c>
      <c r="E11" s="3">
        <f t="shared" si="0"/>
        <v>129.16666666666666</v>
      </c>
      <c r="F11" s="42">
        <f t="shared" si="1"/>
        <v>1033.3333333333333</v>
      </c>
      <c r="G11" s="1">
        <v>2</v>
      </c>
      <c r="H11" s="1">
        <v>1</v>
      </c>
    </row>
    <row r="12" spans="1:8" x14ac:dyDescent="0.35">
      <c r="A12" s="1">
        <v>10</v>
      </c>
      <c r="B12" s="1" t="s">
        <v>90</v>
      </c>
      <c r="C12" s="1"/>
      <c r="D12" s="1">
        <f>SUM('Salary Jan 2026'!R21:T21)</f>
        <v>18000</v>
      </c>
      <c r="E12" s="3">
        <f t="shared" si="0"/>
        <v>75</v>
      </c>
      <c r="F12" s="2"/>
      <c r="G12" s="1">
        <v>2</v>
      </c>
      <c r="H12" s="1">
        <v>1.5</v>
      </c>
    </row>
    <row r="13" spans="1:8" x14ac:dyDescent="0.35">
      <c r="A13" s="1">
        <v>11</v>
      </c>
      <c r="B13" s="1" t="s">
        <v>91</v>
      </c>
      <c r="C13" s="1">
        <v>35</v>
      </c>
      <c r="D13" s="1">
        <f>SUM('Salary Jan 2026'!R22:T22)</f>
        <v>15000</v>
      </c>
      <c r="E13" s="3">
        <f>D13/30/8</f>
        <v>62.5</v>
      </c>
      <c r="F13" s="3">
        <f>E13*C13</f>
        <v>2187.5</v>
      </c>
      <c r="G13" s="1">
        <v>0</v>
      </c>
      <c r="H13" s="1">
        <v>0</v>
      </c>
    </row>
    <row r="14" spans="1:8" x14ac:dyDescent="0.35">
      <c r="B14" s="21"/>
      <c r="C14" s="21"/>
      <c r="G14" s="21">
        <v>0</v>
      </c>
      <c r="H14" s="2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97AB6-6A7A-4F45-8028-D8173A134781}">
  <dimension ref="A1:H43"/>
  <sheetViews>
    <sheetView topLeftCell="A30" workbookViewId="0">
      <selection activeCell="B38" sqref="B38:E41"/>
    </sheetView>
  </sheetViews>
  <sheetFormatPr defaultRowHeight="14.5" x14ac:dyDescent="0.35"/>
  <cols>
    <col min="1" max="1" width="36.90625" bestFit="1" customWidth="1"/>
    <col min="2" max="2" width="12" bestFit="1" customWidth="1"/>
    <col min="3" max="3" width="9.90625" bestFit="1" customWidth="1"/>
    <col min="4" max="4" width="13.81640625" bestFit="1" customWidth="1"/>
    <col min="5" max="5" width="12" customWidth="1"/>
  </cols>
  <sheetData>
    <row r="1" spans="1:7" x14ac:dyDescent="0.35">
      <c r="A1" s="89" t="s">
        <v>210</v>
      </c>
      <c r="B1" s="89"/>
      <c r="C1" s="89"/>
      <c r="D1" s="89"/>
      <c r="E1" s="89"/>
      <c r="F1" s="82" t="s">
        <v>219</v>
      </c>
      <c r="G1" s="82"/>
    </row>
    <row r="2" spans="1:7" ht="21" x14ac:dyDescent="0.5">
      <c r="A2" s="94" t="s">
        <v>209</v>
      </c>
      <c r="B2" s="94"/>
      <c r="C2" s="94"/>
      <c r="D2" s="94"/>
      <c r="E2" s="94"/>
      <c r="F2" s="82"/>
      <c r="G2" s="82"/>
    </row>
    <row r="3" spans="1:7" ht="21" x14ac:dyDescent="0.5">
      <c r="A3" s="47" t="s">
        <v>190</v>
      </c>
      <c r="B3" s="47" t="s">
        <v>42</v>
      </c>
      <c r="C3" s="47" t="s">
        <v>191</v>
      </c>
      <c r="D3" s="47" t="s">
        <v>192</v>
      </c>
      <c r="E3" s="92" t="s">
        <v>217</v>
      </c>
      <c r="F3" s="83" t="s">
        <v>214</v>
      </c>
      <c r="G3" s="84"/>
    </row>
    <row r="4" spans="1:7" ht="21" x14ac:dyDescent="0.5">
      <c r="A4" s="48" t="s">
        <v>193</v>
      </c>
      <c r="B4" s="49">
        <v>4</v>
      </c>
      <c r="C4" s="49">
        <v>4</v>
      </c>
      <c r="D4" s="49">
        <v>2</v>
      </c>
      <c r="E4" s="93"/>
      <c r="F4" s="83"/>
      <c r="G4" s="84"/>
    </row>
    <row r="5" spans="1:7" ht="21" x14ac:dyDescent="0.5">
      <c r="A5" s="48" t="s">
        <v>194</v>
      </c>
      <c r="B5" s="49" t="s">
        <v>130</v>
      </c>
      <c r="C5" s="49" t="s">
        <v>130</v>
      </c>
      <c r="D5" s="49" t="s">
        <v>130</v>
      </c>
      <c r="E5" s="93"/>
      <c r="F5" s="83"/>
      <c r="G5" s="84"/>
    </row>
    <row r="6" spans="1:7" ht="21" x14ac:dyDescent="0.5">
      <c r="A6" s="48" t="s">
        <v>195</v>
      </c>
      <c r="B6" s="49">
        <v>6</v>
      </c>
      <c r="C6" s="49">
        <v>6</v>
      </c>
      <c r="D6" s="49">
        <v>3</v>
      </c>
      <c r="E6" s="93"/>
      <c r="F6" s="83"/>
      <c r="G6" s="84"/>
    </row>
    <row r="7" spans="1:7" ht="21" x14ac:dyDescent="0.5">
      <c r="A7" s="48" t="s">
        <v>196</v>
      </c>
      <c r="B7" s="49">
        <v>8</v>
      </c>
      <c r="C7" s="49">
        <v>8</v>
      </c>
      <c r="D7" s="49">
        <v>3</v>
      </c>
      <c r="E7" s="93"/>
      <c r="F7" s="83"/>
      <c r="G7" s="84"/>
    </row>
    <row r="8" spans="1:7" ht="21" x14ac:dyDescent="0.5">
      <c r="A8" s="48" t="s">
        <v>197</v>
      </c>
      <c r="B8" s="49">
        <v>12</v>
      </c>
      <c r="C8" s="49">
        <v>12</v>
      </c>
      <c r="D8" s="49">
        <v>4</v>
      </c>
      <c r="E8" s="93"/>
      <c r="F8" s="83"/>
      <c r="G8" s="84"/>
    </row>
    <row r="9" spans="1:7" ht="21" x14ac:dyDescent="0.5">
      <c r="A9" s="48" t="s">
        <v>198</v>
      </c>
      <c r="B9" s="49">
        <v>12</v>
      </c>
      <c r="C9" s="49">
        <v>12</v>
      </c>
      <c r="D9" s="49">
        <v>4</v>
      </c>
      <c r="E9" s="93"/>
      <c r="F9" s="83"/>
      <c r="G9" s="84"/>
    </row>
    <row r="10" spans="1:7" ht="21" x14ac:dyDescent="0.5">
      <c r="A10" s="48" t="s">
        <v>199</v>
      </c>
      <c r="B10" s="49">
        <v>8</v>
      </c>
      <c r="C10" s="49">
        <v>8</v>
      </c>
      <c r="D10" s="49">
        <v>3</v>
      </c>
      <c r="E10" s="93"/>
      <c r="F10" s="83"/>
      <c r="G10" s="84"/>
    </row>
    <row r="11" spans="1:7" ht="21" x14ac:dyDescent="0.5">
      <c r="A11" s="48" t="s">
        <v>200</v>
      </c>
      <c r="B11" s="49">
        <v>125</v>
      </c>
      <c r="C11" s="49">
        <v>125</v>
      </c>
      <c r="D11" s="49">
        <v>50</v>
      </c>
      <c r="E11" s="93"/>
      <c r="F11" s="83"/>
      <c r="G11" s="84"/>
    </row>
    <row r="12" spans="1:7" ht="21" x14ac:dyDescent="0.5">
      <c r="A12" s="48" t="s">
        <v>201</v>
      </c>
      <c r="B12" s="49">
        <v>25</v>
      </c>
      <c r="C12" s="49">
        <v>25</v>
      </c>
      <c r="D12" s="49">
        <v>10</v>
      </c>
      <c r="E12" s="93"/>
      <c r="F12" s="83"/>
      <c r="G12" s="84"/>
    </row>
    <row r="13" spans="1:7" ht="21" x14ac:dyDescent="0.5">
      <c r="A13" s="48" t="s">
        <v>202</v>
      </c>
      <c r="B13" s="49">
        <v>50</v>
      </c>
      <c r="C13" s="49">
        <v>50</v>
      </c>
      <c r="D13" s="49">
        <v>25</v>
      </c>
      <c r="E13" s="93"/>
      <c r="F13" s="83"/>
      <c r="G13" s="84"/>
    </row>
    <row r="14" spans="1:7" ht="21" x14ac:dyDescent="0.5">
      <c r="A14" s="48" t="s">
        <v>203</v>
      </c>
      <c r="B14" s="49">
        <v>75</v>
      </c>
      <c r="C14" s="49">
        <v>75</v>
      </c>
      <c r="D14" s="49">
        <v>35</v>
      </c>
      <c r="E14" s="93"/>
      <c r="F14" s="83"/>
      <c r="G14" s="84"/>
    </row>
    <row r="15" spans="1:7" ht="21" x14ac:dyDescent="0.5">
      <c r="A15" s="48" t="s">
        <v>204</v>
      </c>
      <c r="B15" s="49">
        <v>125</v>
      </c>
      <c r="C15" s="49">
        <v>125</v>
      </c>
      <c r="D15" s="49">
        <v>50</v>
      </c>
      <c r="E15" s="93"/>
      <c r="F15" s="83"/>
      <c r="G15" s="84"/>
    </row>
    <row r="16" spans="1:7" ht="21" x14ac:dyDescent="0.5">
      <c r="A16" s="48" t="s">
        <v>205</v>
      </c>
      <c r="B16" s="49">
        <v>40</v>
      </c>
      <c r="C16" s="49">
        <v>40</v>
      </c>
      <c r="D16" s="49">
        <v>20</v>
      </c>
      <c r="E16" s="93"/>
      <c r="F16" s="83"/>
      <c r="G16" s="84"/>
    </row>
    <row r="17" spans="1:8" ht="21" x14ac:dyDescent="0.5">
      <c r="A17" s="48" t="s">
        <v>206</v>
      </c>
      <c r="B17" s="49">
        <v>60</v>
      </c>
      <c r="C17" s="49">
        <v>60</v>
      </c>
      <c r="D17" s="49">
        <v>30</v>
      </c>
      <c r="E17" s="93"/>
      <c r="F17" s="83"/>
      <c r="G17" s="84"/>
    </row>
    <row r="18" spans="1:8" ht="21" x14ac:dyDescent="0.5">
      <c r="A18" s="48" t="s">
        <v>207</v>
      </c>
      <c r="B18" s="49">
        <v>80</v>
      </c>
      <c r="C18" s="49">
        <v>80</v>
      </c>
      <c r="D18" s="49">
        <v>40</v>
      </c>
      <c r="E18" s="93"/>
      <c r="F18" s="83"/>
      <c r="G18" s="84"/>
    </row>
    <row r="19" spans="1:8" ht="21" x14ac:dyDescent="0.5">
      <c r="A19" s="48" t="s">
        <v>208</v>
      </c>
      <c r="B19" s="49">
        <v>125</v>
      </c>
      <c r="C19" s="49">
        <v>125</v>
      </c>
      <c r="D19" s="49">
        <v>50</v>
      </c>
      <c r="E19" s="93"/>
      <c r="F19" s="83"/>
      <c r="G19" s="84"/>
    </row>
    <row r="20" spans="1:8" s="95" customFormat="1" ht="21" customHeight="1" x14ac:dyDescent="0.35">
      <c r="A20" s="96" t="s">
        <v>381</v>
      </c>
      <c r="B20" s="97"/>
      <c r="C20" s="97"/>
      <c r="D20" s="97"/>
      <c r="E20" s="98"/>
      <c r="F20" s="83"/>
      <c r="G20" s="84"/>
    </row>
    <row r="21" spans="1:8" s="95" customFormat="1" ht="21" customHeight="1" x14ac:dyDescent="0.35">
      <c r="A21" s="99"/>
      <c r="B21" s="100"/>
      <c r="C21" s="100"/>
      <c r="D21" s="100"/>
      <c r="E21" s="101"/>
      <c r="F21" s="83"/>
      <c r="G21" s="84"/>
    </row>
    <row r="22" spans="1:8" s="95" customFormat="1" ht="21" customHeight="1" x14ac:dyDescent="0.5">
      <c r="A22" s="111"/>
      <c r="B22" s="112"/>
      <c r="C22" s="112"/>
      <c r="D22" s="112"/>
      <c r="E22" s="113"/>
      <c r="F22" s="83"/>
      <c r="G22" s="84"/>
    </row>
    <row r="23" spans="1:8" s="95" customFormat="1" ht="21" customHeight="1" x14ac:dyDescent="0.35">
      <c r="A23" s="102" t="s">
        <v>382</v>
      </c>
      <c r="B23" s="103" t="s">
        <v>383</v>
      </c>
      <c r="C23" s="103"/>
      <c r="D23" s="103"/>
      <c r="E23" s="104"/>
      <c r="F23" s="83"/>
      <c r="G23" s="84"/>
    </row>
    <row r="24" spans="1:8" s="95" customFormat="1" ht="21" customHeight="1" x14ac:dyDescent="0.35">
      <c r="A24" s="105"/>
      <c r="B24" s="106"/>
      <c r="C24" s="106"/>
      <c r="D24" s="106"/>
      <c r="E24" s="107"/>
      <c r="F24" s="83"/>
      <c r="G24" s="84"/>
    </row>
    <row r="25" spans="1:8" s="95" customFormat="1" ht="21" customHeight="1" x14ac:dyDescent="0.35">
      <c r="A25" s="105"/>
      <c r="B25" s="106"/>
      <c r="C25" s="106"/>
      <c r="D25" s="106"/>
      <c r="E25" s="107"/>
      <c r="F25" s="83"/>
      <c r="G25" s="84"/>
    </row>
    <row r="26" spans="1:8" s="95" customFormat="1" ht="44.5" customHeight="1" x14ac:dyDescent="0.35">
      <c r="A26" s="108"/>
      <c r="B26" s="109"/>
      <c r="C26" s="109"/>
      <c r="D26" s="109"/>
      <c r="E26" s="110"/>
      <c r="F26" s="83"/>
      <c r="G26" s="84"/>
    </row>
    <row r="27" spans="1:8" x14ac:dyDescent="0.35">
      <c r="A27" s="87" t="s">
        <v>211</v>
      </c>
      <c r="B27" s="87"/>
      <c r="C27" s="87"/>
      <c r="D27" s="87"/>
      <c r="E27" s="88"/>
      <c r="F27" s="83"/>
      <c r="G27" s="84"/>
    </row>
    <row r="28" spans="1:8" ht="21" customHeight="1" x14ac:dyDescent="0.35">
      <c r="A28" s="114" t="s">
        <v>400</v>
      </c>
      <c r="B28" s="114"/>
      <c r="C28" s="114"/>
      <c r="D28" s="114"/>
      <c r="E28" s="115"/>
      <c r="F28" s="83"/>
      <c r="G28" s="84"/>
    </row>
    <row r="29" spans="1:8" x14ac:dyDescent="0.35">
      <c r="A29" s="116"/>
      <c r="B29" s="116"/>
      <c r="C29" s="116"/>
      <c r="D29" s="116"/>
      <c r="E29" s="117"/>
      <c r="F29" s="83"/>
      <c r="G29" s="84"/>
    </row>
    <row r="30" spans="1:8" x14ac:dyDescent="0.35">
      <c r="A30" s="87" t="s">
        <v>213</v>
      </c>
      <c r="B30" s="87"/>
      <c r="C30" s="87"/>
      <c r="D30" s="87"/>
      <c r="E30" s="88"/>
      <c r="F30" s="83"/>
      <c r="G30" s="84"/>
    </row>
    <row r="31" spans="1:8" ht="14.5" customHeight="1" x14ac:dyDescent="0.35">
      <c r="A31" s="82" t="s">
        <v>212</v>
      </c>
      <c r="B31" s="90" t="s">
        <v>218</v>
      </c>
      <c r="C31" s="90"/>
      <c r="D31" s="90"/>
      <c r="E31" s="91"/>
      <c r="F31" s="83"/>
      <c r="G31" s="84"/>
      <c r="H31" s="50"/>
    </row>
    <row r="32" spans="1:8" x14ac:dyDescent="0.35">
      <c r="A32" s="82"/>
      <c r="B32" s="90"/>
      <c r="C32" s="90"/>
      <c r="D32" s="90"/>
      <c r="E32" s="91"/>
      <c r="F32" s="83"/>
      <c r="G32" s="84"/>
      <c r="H32" s="50"/>
    </row>
    <row r="33" spans="1:8" x14ac:dyDescent="0.35">
      <c r="A33" s="82"/>
      <c r="B33" s="90"/>
      <c r="C33" s="90"/>
      <c r="D33" s="90"/>
      <c r="E33" s="91"/>
      <c r="F33" s="83"/>
      <c r="G33" s="84"/>
      <c r="H33" s="50"/>
    </row>
    <row r="34" spans="1:8" x14ac:dyDescent="0.35">
      <c r="A34" s="82"/>
      <c r="B34" s="90"/>
      <c r="C34" s="90"/>
      <c r="D34" s="90"/>
      <c r="E34" s="91"/>
      <c r="F34" s="85"/>
      <c r="G34" s="86"/>
      <c r="H34" s="50"/>
    </row>
    <row r="37" spans="1:8" x14ac:dyDescent="0.35">
      <c r="A37" s="89" t="s">
        <v>380</v>
      </c>
      <c r="B37" s="89"/>
      <c r="C37" s="89"/>
      <c r="D37" s="89"/>
      <c r="E37" s="89"/>
    </row>
    <row r="38" spans="1:8" ht="14.5" customHeight="1" x14ac:dyDescent="0.35">
      <c r="A38" s="76" t="s">
        <v>215</v>
      </c>
      <c r="B38" s="79" t="s">
        <v>401</v>
      </c>
      <c r="C38" s="79"/>
      <c r="D38" s="79"/>
      <c r="E38" s="79"/>
      <c r="F38" s="81" t="s">
        <v>216</v>
      </c>
      <c r="G38" s="81"/>
    </row>
    <row r="39" spans="1:8" x14ac:dyDescent="0.35">
      <c r="A39" s="80"/>
      <c r="B39" s="79"/>
      <c r="C39" s="79"/>
      <c r="D39" s="79"/>
      <c r="E39" s="79"/>
      <c r="F39" s="81"/>
      <c r="G39" s="81"/>
    </row>
    <row r="40" spans="1:8" x14ac:dyDescent="0.35">
      <c r="A40" s="80"/>
      <c r="B40" s="79"/>
      <c r="C40" s="79"/>
      <c r="D40" s="79"/>
      <c r="E40" s="79"/>
      <c r="F40" s="81"/>
      <c r="G40" s="81"/>
    </row>
    <row r="41" spans="1:8" x14ac:dyDescent="0.35">
      <c r="A41" s="80"/>
      <c r="B41" s="79"/>
      <c r="C41" s="79"/>
      <c r="D41" s="79"/>
      <c r="E41" s="79"/>
      <c r="F41" s="81"/>
      <c r="G41" s="81"/>
    </row>
    <row r="43" spans="1:8" x14ac:dyDescent="0.35">
      <c r="A43" s="77" t="s">
        <v>221</v>
      </c>
      <c r="B43" s="77"/>
      <c r="C43" s="77"/>
      <c r="D43" s="77"/>
      <c r="E43" s="77"/>
      <c r="F43" s="77"/>
      <c r="G43" s="77"/>
    </row>
  </sheetData>
  <mergeCells count="19">
    <mergeCell ref="B23:E26"/>
    <mergeCell ref="A23:A26"/>
    <mergeCell ref="A22:E22"/>
    <mergeCell ref="A28:E29"/>
    <mergeCell ref="A43:G43"/>
    <mergeCell ref="B38:E41"/>
    <mergeCell ref="A38:A41"/>
    <mergeCell ref="F38:G41"/>
    <mergeCell ref="F1:G2"/>
    <mergeCell ref="F3:G34"/>
    <mergeCell ref="A30:E30"/>
    <mergeCell ref="A31:A34"/>
    <mergeCell ref="A37:E37"/>
    <mergeCell ref="B31:E34"/>
    <mergeCell ref="E3:E19"/>
    <mergeCell ref="A2:E2"/>
    <mergeCell ref="A1:E1"/>
    <mergeCell ref="A27:E27"/>
    <mergeCell ref="A20:E2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8412F-59C8-4C0A-8E4F-87438442CF1A}">
  <dimension ref="A1:A23"/>
  <sheetViews>
    <sheetView topLeftCell="A13" workbookViewId="0">
      <selection activeCell="G23" sqref="G23"/>
    </sheetView>
  </sheetViews>
  <sheetFormatPr defaultRowHeight="14.5" x14ac:dyDescent="0.35"/>
  <sheetData>
    <row r="1" spans="1:1" ht="17.5" x14ac:dyDescent="0.35">
      <c r="A1" s="69" t="s">
        <v>379</v>
      </c>
    </row>
    <row r="2" spans="1:1" x14ac:dyDescent="0.35">
      <c r="A2" s="70"/>
    </row>
    <row r="3" spans="1:1" x14ac:dyDescent="0.35">
      <c r="A3" s="72" t="s">
        <v>384</v>
      </c>
    </row>
    <row r="4" spans="1:1" x14ac:dyDescent="0.35">
      <c r="A4" s="70"/>
    </row>
    <row r="5" spans="1:1" x14ac:dyDescent="0.35">
      <c r="A5" s="70" t="s">
        <v>385</v>
      </c>
    </row>
    <row r="6" spans="1:1" x14ac:dyDescent="0.35">
      <c r="A6" s="70"/>
    </row>
    <row r="7" spans="1:1" x14ac:dyDescent="0.35">
      <c r="A7" s="70" t="s">
        <v>386</v>
      </c>
    </row>
    <row r="8" spans="1:1" x14ac:dyDescent="0.35">
      <c r="A8" s="70"/>
    </row>
    <row r="9" spans="1:1" x14ac:dyDescent="0.35">
      <c r="A9" s="70" t="s">
        <v>387</v>
      </c>
    </row>
    <row r="13" spans="1:1" ht="17.5" x14ac:dyDescent="0.35">
      <c r="A13" s="69" t="s">
        <v>17</v>
      </c>
    </row>
    <row r="14" spans="1:1" x14ac:dyDescent="0.35">
      <c r="A14" s="70"/>
    </row>
    <row r="15" spans="1:1" x14ac:dyDescent="0.35">
      <c r="A15" s="70" t="s">
        <v>388</v>
      </c>
    </row>
    <row r="16" spans="1:1" x14ac:dyDescent="0.35">
      <c r="A16" s="70"/>
    </row>
    <row r="17" spans="1:1" x14ac:dyDescent="0.35">
      <c r="A17" s="70" t="s">
        <v>389</v>
      </c>
    </row>
    <row r="21" spans="1:1" ht="17.5" x14ac:dyDescent="0.35">
      <c r="A21" s="69" t="s">
        <v>16</v>
      </c>
    </row>
    <row r="22" spans="1:1" x14ac:dyDescent="0.35">
      <c r="A22" s="70"/>
    </row>
    <row r="23" spans="1:1" x14ac:dyDescent="0.35">
      <c r="A23" s="70" t="s">
        <v>390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EA913-CEFC-40A8-9111-3B97643D3B4B}">
  <dimension ref="A2:F127"/>
  <sheetViews>
    <sheetView topLeftCell="A116" workbookViewId="0">
      <selection activeCell="F121" sqref="F121"/>
    </sheetView>
  </sheetViews>
  <sheetFormatPr defaultRowHeight="14.5" x14ac:dyDescent="0.35"/>
  <sheetData>
    <row r="2" spans="1:1" ht="23.5" x14ac:dyDescent="0.35">
      <c r="A2" s="73" t="s">
        <v>315</v>
      </c>
    </row>
    <row r="4" spans="1:1" ht="17.5" x14ac:dyDescent="0.35">
      <c r="A4" s="69" t="s">
        <v>316</v>
      </c>
    </row>
    <row r="5" spans="1:1" x14ac:dyDescent="0.35">
      <c r="A5" s="70"/>
    </row>
    <row r="6" spans="1:1" x14ac:dyDescent="0.35">
      <c r="A6" s="70" t="s">
        <v>317</v>
      </c>
    </row>
    <row r="7" spans="1:1" x14ac:dyDescent="0.35">
      <c r="A7" s="70"/>
    </row>
    <row r="8" spans="1:1" x14ac:dyDescent="0.35">
      <c r="A8" s="70"/>
    </row>
    <row r="9" spans="1:1" x14ac:dyDescent="0.35">
      <c r="A9" s="70" t="s">
        <v>318</v>
      </c>
    </row>
    <row r="10" spans="1:1" x14ac:dyDescent="0.35">
      <c r="A10" s="70"/>
    </row>
    <row r="11" spans="1:1" x14ac:dyDescent="0.35">
      <c r="A11" s="70" t="s">
        <v>319</v>
      </c>
    </row>
    <row r="12" spans="1:1" x14ac:dyDescent="0.35">
      <c r="A12" s="70"/>
    </row>
    <row r="13" spans="1:1" x14ac:dyDescent="0.35">
      <c r="A13" s="70" t="s">
        <v>402</v>
      </c>
    </row>
    <row r="17" spans="1:6" ht="17.5" x14ac:dyDescent="0.35">
      <c r="A17" s="69" t="s">
        <v>320</v>
      </c>
    </row>
    <row r="18" spans="1:6" x14ac:dyDescent="0.35">
      <c r="A18" s="70"/>
    </row>
    <row r="19" spans="1:6" x14ac:dyDescent="0.35">
      <c r="A19" s="70" t="s">
        <v>321</v>
      </c>
    </row>
    <row r="20" spans="1:6" x14ac:dyDescent="0.35">
      <c r="A20" s="70"/>
    </row>
    <row r="21" spans="1:6" x14ac:dyDescent="0.35">
      <c r="A21" s="70"/>
    </row>
    <row r="22" spans="1:6" x14ac:dyDescent="0.35">
      <c r="A22" s="70" t="s">
        <v>318</v>
      </c>
    </row>
    <row r="23" spans="1:6" x14ac:dyDescent="0.35">
      <c r="A23" s="70"/>
    </row>
    <row r="24" spans="1:6" x14ac:dyDescent="0.35">
      <c r="A24" s="70" t="s">
        <v>319</v>
      </c>
    </row>
    <row r="25" spans="1:6" x14ac:dyDescent="0.35">
      <c r="A25" s="70"/>
    </row>
    <row r="26" spans="1:6" x14ac:dyDescent="0.35">
      <c r="A26" s="70" t="s">
        <v>403</v>
      </c>
    </row>
    <row r="30" spans="1:6" ht="17.5" x14ac:dyDescent="0.35">
      <c r="A30" s="69" t="s">
        <v>322</v>
      </c>
      <c r="F30" t="s">
        <v>404</v>
      </c>
    </row>
    <row r="31" spans="1:6" x14ac:dyDescent="0.35">
      <c r="A31" s="70"/>
    </row>
    <row r="32" spans="1:6" x14ac:dyDescent="0.35">
      <c r="A32" s="70" t="s">
        <v>323</v>
      </c>
    </row>
    <row r="33" spans="1:1" x14ac:dyDescent="0.35">
      <c r="A33" s="70"/>
    </row>
    <row r="34" spans="1:1" x14ac:dyDescent="0.35">
      <c r="A34" s="70"/>
    </row>
    <row r="35" spans="1:1" x14ac:dyDescent="0.35">
      <c r="A35" s="70" t="s">
        <v>324</v>
      </c>
    </row>
    <row r="36" spans="1:1" x14ac:dyDescent="0.35">
      <c r="A36" s="70"/>
    </row>
    <row r="37" spans="1:1" x14ac:dyDescent="0.35">
      <c r="A37" s="70" t="s">
        <v>325</v>
      </c>
    </row>
    <row r="38" spans="1:1" x14ac:dyDescent="0.35">
      <c r="A38" s="70"/>
    </row>
    <row r="39" spans="1:1" x14ac:dyDescent="0.35">
      <c r="A39" s="70" t="s">
        <v>326</v>
      </c>
    </row>
    <row r="43" spans="1:1" ht="17.5" x14ac:dyDescent="0.35">
      <c r="A43" s="69" t="s">
        <v>327</v>
      </c>
    </row>
    <row r="44" spans="1:1" x14ac:dyDescent="0.35">
      <c r="A44" s="70"/>
    </row>
    <row r="45" spans="1:1" x14ac:dyDescent="0.35">
      <c r="A45" s="70" t="s">
        <v>405</v>
      </c>
    </row>
    <row r="46" spans="1:1" x14ac:dyDescent="0.35">
      <c r="A46" s="70"/>
    </row>
    <row r="47" spans="1:1" x14ac:dyDescent="0.35">
      <c r="A47" s="70" t="s">
        <v>328</v>
      </c>
    </row>
    <row r="48" spans="1:1" x14ac:dyDescent="0.35">
      <c r="A48" s="70"/>
    </row>
    <row r="49" spans="1:1" x14ac:dyDescent="0.35">
      <c r="A49" s="70" t="s">
        <v>329</v>
      </c>
    </row>
    <row r="53" spans="1:1" ht="17.5" x14ac:dyDescent="0.35">
      <c r="A53" s="69" t="s">
        <v>330</v>
      </c>
    </row>
    <row r="54" spans="1:1" x14ac:dyDescent="0.35">
      <c r="A54" s="70"/>
    </row>
    <row r="55" spans="1:1" x14ac:dyDescent="0.35">
      <c r="A55" s="70" t="s">
        <v>331</v>
      </c>
    </row>
    <row r="56" spans="1:1" x14ac:dyDescent="0.35">
      <c r="A56" s="70"/>
    </row>
    <row r="57" spans="1:1" x14ac:dyDescent="0.35">
      <c r="A57" s="70" t="s">
        <v>332</v>
      </c>
    </row>
    <row r="58" spans="1:1" x14ac:dyDescent="0.35">
      <c r="A58" s="70"/>
    </row>
    <row r="59" spans="1:1" x14ac:dyDescent="0.35">
      <c r="A59" s="70" t="s">
        <v>333</v>
      </c>
    </row>
    <row r="60" spans="1:1" x14ac:dyDescent="0.35">
      <c r="A60" s="70"/>
    </row>
    <row r="61" spans="1:1" x14ac:dyDescent="0.35">
      <c r="A61" s="70" t="s">
        <v>319</v>
      </c>
    </row>
    <row r="65" spans="1:1" ht="17.5" x14ac:dyDescent="0.35">
      <c r="A65" s="69" t="s">
        <v>334</v>
      </c>
    </row>
    <row r="66" spans="1:1" x14ac:dyDescent="0.35">
      <c r="A66" s="70"/>
    </row>
    <row r="67" spans="1:1" x14ac:dyDescent="0.35">
      <c r="A67" s="70" t="s">
        <v>335</v>
      </c>
    </row>
    <row r="68" spans="1:1" x14ac:dyDescent="0.35">
      <c r="A68" s="70"/>
    </row>
    <row r="69" spans="1:1" x14ac:dyDescent="0.35">
      <c r="A69" s="70" t="s">
        <v>336</v>
      </c>
    </row>
    <row r="70" spans="1:1" x14ac:dyDescent="0.35">
      <c r="A70" s="70"/>
    </row>
    <row r="71" spans="1:1" x14ac:dyDescent="0.35">
      <c r="A71" s="70" t="s">
        <v>406</v>
      </c>
    </row>
    <row r="72" spans="1:1" x14ac:dyDescent="0.35">
      <c r="A72" s="70"/>
    </row>
    <row r="73" spans="1:1" x14ac:dyDescent="0.35">
      <c r="A73" s="70" t="s">
        <v>337</v>
      </c>
    </row>
    <row r="77" spans="1:1" ht="17.5" x14ac:dyDescent="0.35">
      <c r="A77" s="69" t="s">
        <v>338</v>
      </c>
    </row>
    <row r="78" spans="1:1" x14ac:dyDescent="0.35">
      <c r="A78" s="70"/>
    </row>
    <row r="79" spans="1:1" x14ac:dyDescent="0.35">
      <c r="A79" s="70" t="s">
        <v>339</v>
      </c>
    </row>
    <row r="80" spans="1:1" x14ac:dyDescent="0.35">
      <c r="A80" s="70"/>
    </row>
    <row r="81" spans="1:1" x14ac:dyDescent="0.35">
      <c r="A81" s="70" t="s">
        <v>340</v>
      </c>
    </row>
    <row r="82" spans="1:1" x14ac:dyDescent="0.35">
      <c r="A82" s="70"/>
    </row>
    <row r="83" spans="1:1" x14ac:dyDescent="0.35">
      <c r="A83" s="70" t="s">
        <v>341</v>
      </c>
    </row>
    <row r="87" spans="1:1" ht="17.5" x14ac:dyDescent="0.35">
      <c r="A87" s="69" t="s">
        <v>342</v>
      </c>
    </row>
    <row r="88" spans="1:1" x14ac:dyDescent="0.35">
      <c r="A88" s="70"/>
    </row>
    <row r="89" spans="1:1" x14ac:dyDescent="0.35">
      <c r="A89" s="70" t="s">
        <v>343</v>
      </c>
    </row>
    <row r="90" spans="1:1" x14ac:dyDescent="0.35">
      <c r="A90" s="70"/>
    </row>
    <row r="91" spans="1:1" x14ac:dyDescent="0.35">
      <c r="A91" s="70" t="s">
        <v>344</v>
      </c>
    </row>
    <row r="92" spans="1:1" x14ac:dyDescent="0.35">
      <c r="A92" s="70"/>
    </row>
    <row r="93" spans="1:1" x14ac:dyDescent="0.35">
      <c r="A93" s="70" t="s">
        <v>345</v>
      </c>
    </row>
    <row r="97" spans="1:1" ht="17.5" x14ac:dyDescent="0.35">
      <c r="A97" s="69" t="s">
        <v>346</v>
      </c>
    </row>
    <row r="98" spans="1:1" x14ac:dyDescent="0.35">
      <c r="A98" s="70"/>
    </row>
    <row r="99" spans="1:1" x14ac:dyDescent="0.35">
      <c r="A99" s="70" t="s">
        <v>347</v>
      </c>
    </row>
    <row r="100" spans="1:1" x14ac:dyDescent="0.35">
      <c r="A100" s="70"/>
    </row>
    <row r="101" spans="1:1" x14ac:dyDescent="0.35">
      <c r="A101" s="70" t="s">
        <v>344</v>
      </c>
    </row>
    <row r="102" spans="1:1" x14ac:dyDescent="0.35">
      <c r="A102" s="70"/>
    </row>
    <row r="103" spans="1:1" x14ac:dyDescent="0.35">
      <c r="A103" s="70" t="s">
        <v>345</v>
      </c>
    </row>
    <row r="107" spans="1:1" ht="17.5" x14ac:dyDescent="0.35">
      <c r="A107" s="69" t="s">
        <v>348</v>
      </c>
    </row>
    <row r="108" spans="1:1" x14ac:dyDescent="0.35">
      <c r="A108" s="70"/>
    </row>
    <row r="109" spans="1:1" x14ac:dyDescent="0.35">
      <c r="A109" s="70" t="s">
        <v>407</v>
      </c>
    </row>
    <row r="110" spans="1:1" x14ac:dyDescent="0.35">
      <c r="A110" s="70"/>
    </row>
    <row r="111" spans="1:1" x14ac:dyDescent="0.35">
      <c r="A111" s="70" t="s">
        <v>349</v>
      </c>
    </row>
    <row r="115" spans="1:6" ht="23.5" x14ac:dyDescent="0.35">
      <c r="A115" s="73" t="s">
        <v>350</v>
      </c>
    </row>
    <row r="117" spans="1:6" ht="29" x14ac:dyDescent="0.35">
      <c r="A117" s="51" t="s">
        <v>351</v>
      </c>
      <c r="B117" s="51" t="s">
        <v>352</v>
      </c>
      <c r="C117" s="51" t="s">
        <v>353</v>
      </c>
      <c r="D117" s="51" t="s">
        <v>354</v>
      </c>
      <c r="E117" s="51" t="s">
        <v>124</v>
      </c>
    </row>
    <row r="118" spans="1:6" ht="29" x14ac:dyDescent="0.35">
      <c r="A118" s="74" t="s">
        <v>355</v>
      </c>
      <c r="B118" s="74" t="s">
        <v>130</v>
      </c>
      <c r="C118" s="74" t="s">
        <v>356</v>
      </c>
      <c r="D118" s="74" t="s">
        <v>356</v>
      </c>
      <c r="E118" s="74" t="s">
        <v>357</v>
      </c>
    </row>
    <row r="119" spans="1:6" ht="43.5" x14ac:dyDescent="0.35">
      <c r="A119" s="74" t="s">
        <v>358</v>
      </c>
      <c r="B119" s="74" t="s">
        <v>130</v>
      </c>
      <c r="C119" s="74" t="s">
        <v>356</v>
      </c>
      <c r="D119" s="74" t="s">
        <v>356</v>
      </c>
      <c r="E119" s="74" t="s">
        <v>359</v>
      </c>
    </row>
    <row r="120" spans="1:6" ht="43.5" x14ac:dyDescent="0.35">
      <c r="A120" s="74" t="s">
        <v>360</v>
      </c>
      <c r="B120" s="74" t="s">
        <v>130</v>
      </c>
      <c r="C120" s="74" t="s">
        <v>361</v>
      </c>
      <c r="D120" s="74" t="s">
        <v>236</v>
      </c>
      <c r="E120" s="74" t="s">
        <v>362</v>
      </c>
      <c r="F120" s="118" t="s">
        <v>409</v>
      </c>
    </row>
    <row r="121" spans="1:6" ht="43.5" x14ac:dyDescent="0.35">
      <c r="A121" s="74" t="s">
        <v>189</v>
      </c>
      <c r="B121" s="74" t="s">
        <v>33</v>
      </c>
      <c r="C121" s="74" t="s">
        <v>33</v>
      </c>
      <c r="D121" s="74" t="s">
        <v>33</v>
      </c>
      <c r="E121" s="74" t="s">
        <v>363</v>
      </c>
    </row>
    <row r="122" spans="1:6" ht="43.5" x14ac:dyDescent="0.35">
      <c r="A122" s="74" t="s">
        <v>364</v>
      </c>
      <c r="B122" s="74" t="s">
        <v>365</v>
      </c>
      <c r="C122" s="74" t="s">
        <v>356</v>
      </c>
      <c r="D122" s="74" t="s">
        <v>356</v>
      </c>
      <c r="E122" s="74" t="s">
        <v>366</v>
      </c>
    </row>
    <row r="123" spans="1:6" ht="29" x14ac:dyDescent="0.35">
      <c r="A123" s="74" t="s">
        <v>367</v>
      </c>
      <c r="B123" s="74" t="s">
        <v>368</v>
      </c>
      <c r="C123" s="74" t="s">
        <v>33</v>
      </c>
      <c r="D123" s="74" t="s">
        <v>33</v>
      </c>
      <c r="E123" s="74" t="s">
        <v>369</v>
      </c>
    </row>
    <row r="124" spans="1:6" ht="29" x14ac:dyDescent="0.35">
      <c r="A124" s="74" t="s">
        <v>370</v>
      </c>
      <c r="B124" s="74">
        <v>5</v>
      </c>
      <c r="C124" s="74" t="s">
        <v>356</v>
      </c>
      <c r="D124" s="74" t="s">
        <v>356</v>
      </c>
      <c r="E124" s="74" t="s">
        <v>371</v>
      </c>
    </row>
    <row r="125" spans="1:6" ht="29" x14ac:dyDescent="0.35">
      <c r="A125" s="74" t="s">
        <v>372</v>
      </c>
      <c r="B125" s="74">
        <v>3</v>
      </c>
      <c r="C125" s="74" t="s">
        <v>356</v>
      </c>
      <c r="D125" s="74" t="s">
        <v>356</v>
      </c>
      <c r="E125" s="74" t="s">
        <v>371</v>
      </c>
    </row>
    <row r="126" spans="1:6" ht="43.5" x14ac:dyDescent="0.35">
      <c r="A126" s="74" t="s">
        <v>373</v>
      </c>
      <c r="B126" s="74">
        <v>3</v>
      </c>
      <c r="C126" s="74" t="s">
        <v>356</v>
      </c>
      <c r="D126" s="74" t="s">
        <v>356</v>
      </c>
      <c r="E126" s="74" t="s">
        <v>374</v>
      </c>
    </row>
    <row r="127" spans="1:6" ht="29" x14ac:dyDescent="0.35">
      <c r="A127" s="74" t="s">
        <v>375</v>
      </c>
      <c r="B127" s="74" t="s">
        <v>376</v>
      </c>
      <c r="C127" s="74" t="s">
        <v>33</v>
      </c>
      <c r="D127" s="74" t="s">
        <v>33</v>
      </c>
      <c r="E127" s="74" t="s">
        <v>408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CDFB6-16BA-460F-B939-04EBC08641B3}">
  <dimension ref="A2:D52"/>
  <sheetViews>
    <sheetView topLeftCell="A49" workbookViewId="0">
      <selection activeCell="C5" sqref="C5"/>
    </sheetView>
  </sheetViews>
  <sheetFormatPr defaultRowHeight="14.5" x14ac:dyDescent="0.35"/>
  <cols>
    <col min="1" max="1" width="13.1796875" customWidth="1"/>
    <col min="2" max="3" width="15.6328125" customWidth="1"/>
    <col min="4" max="4" width="11.90625" customWidth="1"/>
  </cols>
  <sheetData>
    <row r="2" spans="1:1" ht="17.5" x14ac:dyDescent="0.35">
      <c r="A2" s="69" t="s">
        <v>281</v>
      </c>
    </row>
    <row r="3" spans="1:1" x14ac:dyDescent="0.35">
      <c r="A3" s="70"/>
    </row>
    <row r="4" spans="1:1" x14ac:dyDescent="0.35">
      <c r="A4" s="70" t="s">
        <v>282</v>
      </c>
    </row>
    <row r="5" spans="1:1" x14ac:dyDescent="0.35">
      <c r="A5" s="70"/>
    </row>
    <row r="6" spans="1:1" x14ac:dyDescent="0.35">
      <c r="A6" s="70" t="s">
        <v>283</v>
      </c>
    </row>
    <row r="7" spans="1:1" x14ac:dyDescent="0.35">
      <c r="A7" s="70" t="s">
        <v>284</v>
      </c>
    </row>
    <row r="8" spans="1:1" x14ac:dyDescent="0.35">
      <c r="A8" s="70"/>
    </row>
    <row r="9" spans="1:1" x14ac:dyDescent="0.35">
      <c r="A9" s="70" t="s">
        <v>285</v>
      </c>
    </row>
    <row r="10" spans="1:1" x14ac:dyDescent="0.35">
      <c r="A10" s="70" t="s">
        <v>286</v>
      </c>
    </row>
    <row r="11" spans="1:1" x14ac:dyDescent="0.35">
      <c r="A11" s="70"/>
    </row>
    <row r="12" spans="1:1" x14ac:dyDescent="0.35">
      <c r="A12" s="71" t="s">
        <v>287</v>
      </c>
    </row>
    <row r="16" spans="1:1" ht="17.5" x14ac:dyDescent="0.35">
      <c r="A16" s="69" t="s">
        <v>288</v>
      </c>
    </row>
    <row r="17" spans="1:1" x14ac:dyDescent="0.35">
      <c r="A17" s="70"/>
    </row>
    <row r="18" spans="1:1" x14ac:dyDescent="0.35">
      <c r="A18" s="70" t="s">
        <v>289</v>
      </c>
    </row>
    <row r="19" spans="1:1" x14ac:dyDescent="0.35">
      <c r="A19" s="70"/>
    </row>
    <row r="20" spans="1:1" x14ac:dyDescent="0.35">
      <c r="A20" s="70" t="s">
        <v>290</v>
      </c>
    </row>
    <row r="21" spans="1:1" x14ac:dyDescent="0.35">
      <c r="A21" s="70"/>
    </row>
    <row r="22" spans="1:1" x14ac:dyDescent="0.35">
      <c r="A22" s="70" t="s">
        <v>291</v>
      </c>
    </row>
    <row r="23" spans="1:1" x14ac:dyDescent="0.35">
      <c r="A23" s="70"/>
    </row>
    <row r="24" spans="1:1" x14ac:dyDescent="0.35">
      <c r="A24" s="70" t="s">
        <v>292</v>
      </c>
    </row>
    <row r="25" spans="1:1" x14ac:dyDescent="0.35">
      <c r="A25" s="70"/>
    </row>
    <row r="26" spans="1:1" x14ac:dyDescent="0.35">
      <c r="A26" s="71" t="s">
        <v>293</v>
      </c>
    </row>
    <row r="30" spans="1:1" ht="17.5" x14ac:dyDescent="0.35">
      <c r="A30" s="69" t="s">
        <v>294</v>
      </c>
    </row>
    <row r="31" spans="1:1" x14ac:dyDescent="0.35">
      <c r="A31" s="70"/>
    </row>
    <row r="32" spans="1:1" x14ac:dyDescent="0.35">
      <c r="A32" s="70" t="s">
        <v>295</v>
      </c>
    </row>
    <row r="33" spans="1:4" x14ac:dyDescent="0.35">
      <c r="A33" s="70"/>
    </row>
    <row r="34" spans="1:4" x14ac:dyDescent="0.35">
      <c r="A34" s="70" t="s">
        <v>296</v>
      </c>
    </row>
    <row r="35" spans="1:4" x14ac:dyDescent="0.35">
      <c r="A35" s="72" t="s">
        <v>297</v>
      </c>
    </row>
    <row r="39" spans="1:4" ht="17.5" x14ac:dyDescent="0.35">
      <c r="A39" s="69" t="s">
        <v>298</v>
      </c>
    </row>
    <row r="40" spans="1:4" x14ac:dyDescent="0.35">
      <c r="A40" s="70"/>
    </row>
    <row r="41" spans="1:4" x14ac:dyDescent="0.35">
      <c r="A41" s="70" t="s">
        <v>299</v>
      </c>
    </row>
    <row r="42" spans="1:4" x14ac:dyDescent="0.35">
      <c r="A42" s="70"/>
    </row>
    <row r="43" spans="1:4" x14ac:dyDescent="0.35">
      <c r="A43" s="70" t="s">
        <v>300</v>
      </c>
    </row>
    <row r="48" spans="1:4" ht="29" x14ac:dyDescent="0.35">
      <c r="A48" s="51" t="s">
        <v>301</v>
      </c>
      <c r="B48" s="51" t="s">
        <v>302</v>
      </c>
      <c r="C48" s="51" t="s">
        <v>303</v>
      </c>
      <c r="D48" s="51" t="s">
        <v>124</v>
      </c>
    </row>
    <row r="49" spans="1:4" ht="58" x14ac:dyDescent="0.35">
      <c r="A49" s="74" t="s">
        <v>8</v>
      </c>
      <c r="B49" s="74" t="s">
        <v>304</v>
      </c>
      <c r="C49" s="74" t="s">
        <v>305</v>
      </c>
      <c r="D49" s="74" t="s">
        <v>306</v>
      </c>
    </row>
    <row r="50" spans="1:4" ht="29" x14ac:dyDescent="0.35">
      <c r="A50" s="74" t="s">
        <v>24</v>
      </c>
      <c r="B50" s="74" t="s">
        <v>307</v>
      </c>
      <c r="C50" s="74" t="s">
        <v>308</v>
      </c>
      <c r="D50" s="74" t="s">
        <v>306</v>
      </c>
    </row>
    <row r="51" spans="1:4" ht="29" x14ac:dyDescent="0.35">
      <c r="A51" s="74" t="s">
        <v>280</v>
      </c>
      <c r="B51" s="74" t="s">
        <v>309</v>
      </c>
      <c r="C51" s="74" t="s">
        <v>310</v>
      </c>
      <c r="D51" s="74" t="s">
        <v>311</v>
      </c>
    </row>
    <row r="52" spans="1:4" ht="72.5" x14ac:dyDescent="0.35">
      <c r="A52" s="74" t="s">
        <v>28</v>
      </c>
      <c r="B52" s="74" t="s">
        <v>312</v>
      </c>
      <c r="C52" s="74" t="s">
        <v>313</v>
      </c>
      <c r="D52" s="74" t="s">
        <v>314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4239E-902C-4F9A-9ABF-D42671E7172E}">
  <dimension ref="A1:A29"/>
  <sheetViews>
    <sheetView topLeftCell="A16" workbookViewId="0">
      <selection activeCell="A5" sqref="A5"/>
    </sheetView>
  </sheetViews>
  <sheetFormatPr defaultRowHeight="14.5" x14ac:dyDescent="0.35"/>
  <sheetData>
    <row r="1" spans="1:1" ht="17.5" x14ac:dyDescent="0.35">
      <c r="A1" s="69" t="s">
        <v>377</v>
      </c>
    </row>
    <row r="2" spans="1:1" x14ac:dyDescent="0.35">
      <c r="A2" s="70"/>
    </row>
    <row r="3" spans="1:1" x14ac:dyDescent="0.35">
      <c r="A3" s="70" t="s">
        <v>410</v>
      </c>
    </row>
    <row r="4" spans="1:1" x14ac:dyDescent="0.35">
      <c r="A4" s="70"/>
    </row>
    <row r="5" spans="1:1" x14ac:dyDescent="0.35">
      <c r="A5" s="70" t="s">
        <v>391</v>
      </c>
    </row>
    <row r="6" spans="1:1" x14ac:dyDescent="0.35">
      <c r="A6" s="70"/>
    </row>
    <row r="7" spans="1:1" x14ac:dyDescent="0.35">
      <c r="A7" s="70" t="s">
        <v>392</v>
      </c>
    </row>
    <row r="8" spans="1:1" x14ac:dyDescent="0.35">
      <c r="A8" s="70"/>
    </row>
    <row r="9" spans="1:1" x14ac:dyDescent="0.35">
      <c r="A9" s="70" t="s">
        <v>393</v>
      </c>
    </row>
    <row r="10" spans="1:1" x14ac:dyDescent="0.35">
      <c r="A10" s="70"/>
    </row>
    <row r="11" spans="1:1" x14ac:dyDescent="0.35">
      <c r="A11" s="70" t="s">
        <v>394</v>
      </c>
    </row>
    <row r="12" spans="1:1" x14ac:dyDescent="0.35">
      <c r="A12" s="70"/>
    </row>
    <row r="13" spans="1:1" x14ac:dyDescent="0.35">
      <c r="A13" s="70" t="s">
        <v>395</v>
      </c>
    </row>
    <row r="14" spans="1:1" x14ac:dyDescent="0.35">
      <c r="A14" s="70"/>
    </row>
    <row r="15" spans="1:1" x14ac:dyDescent="0.35">
      <c r="A15" s="70" t="s">
        <v>396</v>
      </c>
    </row>
    <row r="19" spans="1:1" ht="17.5" x14ac:dyDescent="0.35">
      <c r="A19" s="69" t="s">
        <v>122</v>
      </c>
    </row>
    <row r="20" spans="1:1" x14ac:dyDescent="0.35">
      <c r="A20" s="70"/>
    </row>
    <row r="21" spans="1:1" x14ac:dyDescent="0.35">
      <c r="A21" s="70" t="s">
        <v>397</v>
      </c>
    </row>
    <row r="22" spans="1:1" x14ac:dyDescent="0.35">
      <c r="A22" s="70"/>
    </row>
    <row r="23" spans="1:1" x14ac:dyDescent="0.35">
      <c r="A23" s="70" t="s">
        <v>398</v>
      </c>
    </row>
    <row r="27" spans="1:1" ht="17.5" x14ac:dyDescent="0.35">
      <c r="A27" s="69" t="s">
        <v>378</v>
      </c>
    </row>
    <row r="28" spans="1:1" x14ac:dyDescent="0.35">
      <c r="A28" s="70"/>
    </row>
    <row r="29" spans="1:1" x14ac:dyDescent="0.35">
      <c r="A29" s="70" t="s">
        <v>399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Salary Jan 2026</vt:lpstr>
      <vt:lpstr>OMan salary</vt:lpstr>
      <vt:lpstr>Labour salary</vt:lpstr>
      <vt:lpstr>Factory Overtime working</vt:lpstr>
      <vt:lpstr>Incentive &amp; Cummulative Incenti</vt:lpstr>
      <vt:lpstr>Green Thanks &amp; Bonus &amp; Travel</vt:lpstr>
      <vt:lpstr>Leave policy</vt:lpstr>
      <vt:lpstr>STATUTORY COMPLAINCE</vt:lpstr>
      <vt:lpstr>Loan&amp;adv , deductions, Contribu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2025-07-21T06:37:59Z</dcterms:created>
  <dcterms:modified xsi:type="dcterms:W3CDTF">2026-01-29T13:17:22Z</dcterms:modified>
</cp:coreProperties>
</file>